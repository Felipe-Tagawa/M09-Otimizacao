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C9CF41E0-53D2-4180-9EBF-9C18A1098E4B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Ex1" sheetId="1" r:id="rId1"/>
    <sheet name="Answer Report Ex1" sheetId="2" r:id="rId2"/>
    <sheet name="Ex2" sheetId="3" r:id="rId3"/>
    <sheet name="Answer Report Ex2" sheetId="4" r:id="rId4"/>
    <sheet name="Sensitivity Report Ex2" sheetId="5" r:id="rId5"/>
    <sheet name="Ex3" sheetId="6" r:id="rId6"/>
    <sheet name="Answer Report Ex3" sheetId="7" r:id="rId7"/>
  </sheets>
  <definedNames>
    <definedName name="solver_adj" localSheetId="0" hidden="1">'Ex1'!$D$9:$F$9</definedName>
    <definedName name="solver_adj" localSheetId="2" hidden="1">'Ex2'!$C$9:$F$9</definedName>
    <definedName name="solver_adj" localSheetId="5" hidden="1">'Ex3'!$C$10:$D$10</definedName>
    <definedName name="solver_eng" localSheetId="3" hidden="1">0</definedName>
    <definedName name="solver_eng" localSheetId="2" hidden="1">0</definedName>
    <definedName name="solver_eng" localSheetId="4" hidden="1">0</definedName>
    <definedName name="solver_eng" localSheetId="6" hidden="1">0</definedName>
    <definedName name="solver_eng" localSheetId="5" hidden="1">0</definedName>
    <definedName name="solver_eng" localSheetId="1" hidden="1">0</definedName>
    <definedName name="solver_eng" localSheetId="0" hidden="1">0</definedName>
    <definedName name="solver_lhs1" localSheetId="0" hidden="1">'Ex1'!$H$5:$H$7</definedName>
    <definedName name="solver_lhs1" localSheetId="2" hidden="1">'Ex2'!$H$6:$H$8</definedName>
    <definedName name="solver_lhs1" localSheetId="5" hidden="1">'Ex3'!$C$10:$D$10</definedName>
    <definedName name="solver_lhs2" localSheetId="0" hidden="1">'Ex1'!$D$9:$F$9</definedName>
    <definedName name="solver_lhs2" localSheetId="5" hidden="1">'Ex3'!$F$6:$F$8</definedName>
    <definedName name="solver_neg" localSheetId="0" hidden="1">1</definedName>
    <definedName name="solver_neg" localSheetId="2" hidden="1">1</definedName>
    <definedName name="solver_neg" localSheetId="5" hidden="1">1</definedName>
    <definedName name="solver_num" localSheetId="2" hidden="1">1</definedName>
    <definedName name="solver_num" localSheetId="5" hidden="1">2</definedName>
    <definedName name="solver_num" localSheetId="0" hidden="1">1</definedName>
    <definedName name="solver_opt" localSheetId="5" hidden="1">'Ex3'!$F$10</definedName>
    <definedName name="solver_rel1" localSheetId="0" hidden="1">1</definedName>
    <definedName name="solver_rel1" localSheetId="2" hidden="1">1</definedName>
    <definedName name="solver_rel1" localSheetId="5" hidden="1">4</definedName>
    <definedName name="solver_rel2" localSheetId="0" hidden="1">4</definedName>
    <definedName name="solver_rel2" localSheetId="5" hidden="1">1</definedName>
    <definedName name="solver_rhs1" localSheetId="0" hidden="1">'Ex1'!$I$5:$I$7</definedName>
    <definedName name="solver_rhs1" localSheetId="2" hidden="1">'Ex2'!$I$6:$I$8</definedName>
    <definedName name="solver_rhs2" localSheetId="5" hidden="1">'Ex3'!$G$6:$G$8</definedName>
    <definedName name="solver_rxv" localSheetId="0" hidden="1">1</definedName>
    <definedName name="solver_rxv" localSheetId="2" hidden="1">1</definedName>
    <definedName name="solver_rxv" localSheetId="5" hidden="1">1</definedName>
    <definedName name="solver_typ" localSheetId="2" hidden="1">1</definedName>
    <definedName name="solver_typ" localSheetId="5" hidden="1">1</definedName>
    <definedName name="solver_typ" localSheetId="0" hidden="1">1</definedName>
    <definedName name="solver_val" localSheetId="2" hidden="1">0</definedName>
    <definedName name="solver_val" localSheetId="5" hidden="1">0</definedName>
    <definedName name="solver_val" localSheetId="0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6" l="1"/>
  <c r="F7" i="6"/>
  <c r="F8" i="6"/>
  <c r="F6" i="6"/>
  <c r="H9" i="3"/>
  <c r="H7" i="3"/>
  <c r="H8" i="3"/>
  <c r="H6" i="3"/>
  <c r="H6" i="1"/>
  <c r="H7" i="1"/>
  <c r="H5" i="1"/>
  <c r="H9" i="1"/>
</calcChain>
</file>

<file path=xl/sharedStrings.xml><?xml version="1.0" encoding="utf-8"?>
<sst xmlns="http://schemas.openxmlformats.org/spreadsheetml/2006/main" count="224" uniqueCount="121">
  <si>
    <t>Exercício 1</t>
  </si>
  <si>
    <t>Picolés</t>
  </si>
  <si>
    <t>Sabores</t>
  </si>
  <si>
    <t>Quantidade</t>
  </si>
  <si>
    <t>Açucar / 100g</t>
  </si>
  <si>
    <t>x1</t>
  </si>
  <si>
    <t>x2</t>
  </si>
  <si>
    <t>x3</t>
  </si>
  <si>
    <t>Uso</t>
  </si>
  <si>
    <t>Restrição</t>
  </si>
  <si>
    <t xml:space="preserve">x1 </t>
  </si>
  <si>
    <t>Morango</t>
  </si>
  <si>
    <t>max</t>
  </si>
  <si>
    <t>Uva</t>
  </si>
  <si>
    <t>O relatório aponta que há uma folga de 20 litros unidades para a quantidade de leite utilizada.</t>
  </si>
  <si>
    <t>leite(l)</t>
  </si>
  <si>
    <t>&lt;=</t>
  </si>
  <si>
    <t>Limao</t>
  </si>
  <si>
    <t>Isso nos diz que a quantidade de leite pode ser reduzida em 20 litros (200l -&gt; 180l).</t>
  </si>
  <si>
    <t>acucar</t>
  </si>
  <si>
    <t>polpa(l)</t>
  </si>
  <si>
    <t>Modelo</t>
  </si>
  <si>
    <t>Resolução</t>
  </si>
  <si>
    <t>Z(Lucro)</t>
  </si>
  <si>
    <t>MaxZ =</t>
  </si>
  <si>
    <t>x1 + 0.9x2 + 0.95x3</t>
  </si>
  <si>
    <t>s.a.</t>
  </si>
  <si>
    <t>0.45x1 + 0.5x2 + 0.4x3 &lt;= 200</t>
  </si>
  <si>
    <t>0.5x1 + 0.4x2 + 0.4x3 &lt;= 150</t>
  </si>
  <si>
    <t>0.1x1 + 0.15x2 + 0.2x3 &lt;= 60</t>
  </si>
  <si>
    <t>x1,x2,x3 &gt;= 0</t>
  </si>
  <si>
    <t>x1,x2,x3 e Z+</t>
  </si>
  <si>
    <t>Microsoft Excel Answer Report</t>
  </si>
  <si>
    <t>Worksheet: Planilha1</t>
  </si>
  <si>
    <t>Report Created:Tue Sep 29 2026 20:00:59 GMT-0300 (Horário Padrão de Brasília)</t>
  </si>
  <si>
    <t>Result: Solver found a solution.  All constraints and optimality conditions are satisfied.</t>
  </si>
  <si>
    <t>Engine: LP/Quadratic</t>
  </si>
  <si>
    <t>Solution Time: 4 milliseconds</t>
  </si>
  <si>
    <t>Iterations: 2</t>
  </si>
  <si>
    <t>Subproblems: 5</t>
  </si>
  <si>
    <t>Incumbent Solutions: 1</t>
  </si>
  <si>
    <t>Objective Cell (Max)</t>
  </si>
  <si>
    <t>Cell</t>
  </si>
  <si>
    <t>Original Value</t>
  </si>
  <si>
    <t>Final Value</t>
  </si>
  <si>
    <t>Planilha1'!H9</t>
  </si>
  <si>
    <t>Decision Variable Cells</t>
  </si>
  <si>
    <t>$D$9</t>
  </si>
  <si>
    <t>$E$9</t>
  </si>
  <si>
    <t>$F$9</t>
  </si>
  <si>
    <t>Constraints</t>
  </si>
  <si>
    <t>Lower Bound</t>
  </si>
  <si>
    <t>Upper Bound</t>
  </si>
  <si>
    <t>Slack</t>
  </si>
  <si>
    <t>$H$5</t>
  </si>
  <si>
    <t>$H$6</t>
  </si>
  <si>
    <t>$H$7</t>
  </si>
  <si>
    <t>Exercício 2</t>
  </si>
  <si>
    <t>x4</t>
  </si>
  <si>
    <t>I. Se b1 tiver um decréscimo de 200 unidades:</t>
  </si>
  <si>
    <t>haverá um descréscimo no valor ótimo de 200 * 2.5833333 (price)</t>
  </si>
  <si>
    <t>Max</t>
  </si>
  <si>
    <t>II. Se x4 aumentar de 25 para 38 unidades:</t>
  </si>
  <si>
    <t>ocorre um aumento de 1462.5 em Z (final value = 112.5) * 13 (38-25)</t>
  </si>
  <si>
    <t>USO</t>
  </si>
  <si>
    <t>II. De acordo com o relatório, o valor máximo de x4 é de 40</t>
  </si>
  <si>
    <t>III. Os coeficientes de estabilidade de x3 são [16.66, 43.33].</t>
  </si>
  <si>
    <t>Significado:  os C.E. indicam que há garantia de manutenção dos valores finais para valores das variáveis dentro do intervalo</t>
  </si>
  <si>
    <t>Z(Maior)</t>
  </si>
  <si>
    <t>Resposta</t>
  </si>
  <si>
    <t>Worksheet: Planilha2</t>
  </si>
  <si>
    <t>Report Created:Tue Sep 29 2026 20:14:18 GMT-0300 (Horário Padrão de Brasília)</t>
  </si>
  <si>
    <t>Iterations: 0</t>
  </si>
  <si>
    <t>Subproblems: 0</t>
  </si>
  <si>
    <t>Incumbent Solutions: 0</t>
  </si>
  <si>
    <t>Planilha2'!H9</t>
  </si>
  <si>
    <t>$C$9</t>
  </si>
  <si>
    <t>$H$8</t>
  </si>
  <si>
    <t>Microsoft Excel Sensitivity Report</t>
  </si>
  <si>
    <t>Worksheet: Answer Report 1</t>
  </si>
  <si>
    <t>Report Created:Tue Sep 29 2026 20:14:19 GMT-0300 (Horário Padrão de Brasília)</t>
  </si>
  <si>
    <t>Final</t>
  </si>
  <si>
    <t>Reduced</t>
  </si>
  <si>
    <t>Maximum</t>
  </si>
  <si>
    <t>Minimum</t>
  </si>
  <si>
    <t>Value</t>
  </si>
  <si>
    <t>Cost</t>
  </si>
  <si>
    <t>Objective Coefficient</t>
  </si>
  <si>
    <t>Shadow</t>
  </si>
  <si>
    <t>Constraint</t>
  </si>
  <si>
    <t>Allowable</t>
  </si>
  <si>
    <t>Price</t>
  </si>
  <si>
    <t>R.H.Side</t>
  </si>
  <si>
    <t>Increase</t>
  </si>
  <si>
    <t>Decrease</t>
  </si>
  <si>
    <t>Exercício 3</t>
  </si>
  <si>
    <t>Ligas</t>
  </si>
  <si>
    <t>LIga 1</t>
  </si>
  <si>
    <t>Há folga (slack) para zinco e para chumbo no valor de 0.4  e 0.6, toneladas, respectivamente</t>
  </si>
  <si>
    <t>Liga 2</t>
  </si>
  <si>
    <t>Dessa forma, a quantidade desses materiais pode variar de acordo com os valores:</t>
  </si>
  <si>
    <t xml:space="preserve">zinco: pode passar de 1 tonelada para 0.6 tonelada; </t>
  </si>
  <si>
    <t>Cobre</t>
  </si>
  <si>
    <t>3000x1 + 2000x2</t>
  </si>
  <si>
    <t>chumbo: pode passar de 3 toneladas para 2.4 toneladas.</t>
  </si>
  <si>
    <t>Zinco</t>
  </si>
  <si>
    <t>Chumbo</t>
  </si>
  <si>
    <t>0.5x1 + 0.3x2 &lt;= 3</t>
  </si>
  <si>
    <t>0.1x1 + 0.2x2 &lt;= 1</t>
  </si>
  <si>
    <t>0.4x1 + 0.5x2 &lt;= 3</t>
  </si>
  <si>
    <t>x1,x2 &gt;= 0</t>
  </si>
  <si>
    <t>x1,x2 e Z+</t>
  </si>
  <si>
    <t>Worksheet: Planilha3</t>
  </si>
  <si>
    <t>Report Created:Tue Sep 29 2026 20:43:34 GMT-0300 (Horário Padrão de Brasília)</t>
  </si>
  <si>
    <t>Subproblems: 4</t>
  </si>
  <si>
    <t>Planilha3'!F10</t>
  </si>
  <si>
    <t>$C$10</t>
  </si>
  <si>
    <t>$D$10</t>
  </si>
  <si>
    <t>$F$6</t>
  </si>
  <si>
    <t>$F$7</t>
  </si>
  <si>
    <t>$F$8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</si>
</sst>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>
    <font>
      <sz val="11"/>
      <color theme="1"/>
      <name val="Calibri"/>
      <family val="2"/>
      <scheme val="minor"/>
    </font>
    <font>
      <b/>
      <sz val="8"/>
      <color theme="1"/>
      <name val="Helv"/>
    </font>
    <font>
      <sz val="8"/>
      <color theme="1"/>
      <name val="Helv"/>
    </font>
    <font>
      <b/>
      <sz val="8"/>
      <color rgb="FF0000FF"/>
      <name val="Helv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6" xfId="0" applyFont="1" applyBorder="1"/>
    <xf numFmtId="0" fontId="2" fillId="0" borderId="6" xfId="0" quotePrefix="1" applyFont="1" applyBorder="1"/>
    <xf numFmtId="0" fontId="2" fillId="0" borderId="7" xfId="0" applyFont="1" applyBorder="1"/>
    <xf numFmtId="0" fontId="0" fillId="4" borderId="1" xfId="0" applyFill="1" applyBorder="1"/>
    <xf numFmtId="0" fontId="0" fillId="6" borderId="1" xfId="0" applyFill="1" applyBorder="1"/>
    <xf numFmtId="0" fontId="0" fillId="4" borderId="3" xfId="0" applyFill="1" applyBorder="1"/>
    <xf numFmtId="0" fontId="0" fillId="6" borderId="2" xfId="0" applyFill="1" applyBorder="1"/>
    <xf numFmtId="0" fontId="4" fillId="5" borderId="1" xfId="0" applyFont="1" applyFill="1" applyBorder="1"/>
    <xf numFmtId="164" fontId="4" fillId="7" borderId="1" xfId="0" applyNumberFormat="1" applyFont="1" applyFill="1" applyBorder="1"/>
    <xf numFmtId="164" fontId="4" fillId="7" borderId="2" xfId="0" applyNumberFormat="1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2B8105-26BB-4758-A20A-B4AC4FFA667B}">
  <we:reference id="1e10eb66-9ba2-46e3-84ee-57e2a49831f0" version="3.0.0.1" store="excatalog" storeType="excatalog"/>
  <we:alternateReferences>
    <we:reference id="WA104100404" version="3.0.0.1" store="pt-br" storeType="omex"/>
  </we:alternateReferences>
  <we:properties>
    <we:property name="UniqueID" value="&quot;2026829179072217872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showGridLines="0" workbookViewId="0">
      <selection activeCell="Q7" sqref="Q7"/>
    </sheetView>
  </sheetViews>
  <sheetFormatPr defaultRowHeight="15"/>
  <cols>
    <col min="2" max="2" width="10.28515625" bestFit="1" customWidth="1"/>
    <col min="3" max="3" width="10" bestFit="1" customWidth="1"/>
    <col min="8" max="8" width="10.85546875" bestFit="1" customWidth="1"/>
    <col min="13" max="13" width="7.85546875" bestFit="1" customWidth="1"/>
    <col min="14" max="14" width="27.42578125" bestFit="1" customWidth="1"/>
    <col min="15" max="15" width="11.42578125" bestFit="1" customWidth="1"/>
    <col min="16" max="16" width="13.28515625" bestFit="1" customWidth="1"/>
    <col min="17" max="17" width="85.42578125" bestFit="1" customWidth="1"/>
  </cols>
  <sheetData>
    <row r="2" spans="2:17">
      <c r="B2" s="1" t="s">
        <v>0</v>
      </c>
      <c r="C2" s="1"/>
      <c r="D2" s="1"/>
      <c r="E2" s="1"/>
      <c r="F2" s="1"/>
      <c r="G2" s="1"/>
      <c r="H2" s="1"/>
      <c r="I2" s="1"/>
      <c r="M2" s="1" t="s">
        <v>1</v>
      </c>
      <c r="N2" s="7" t="s">
        <v>2</v>
      </c>
      <c r="O2" s="1" t="s">
        <v>3</v>
      </c>
      <c r="Q2" s="1" t="s">
        <v>4</v>
      </c>
    </row>
    <row r="3" spans="2:17">
      <c r="B3" s="1"/>
      <c r="C3" s="1"/>
      <c r="D3" s="1" t="s">
        <v>5</v>
      </c>
      <c r="E3" s="1" t="s">
        <v>6</v>
      </c>
      <c r="F3" s="1" t="s">
        <v>7</v>
      </c>
      <c r="G3" s="1"/>
      <c r="H3" s="1" t="s">
        <v>8</v>
      </c>
      <c r="I3" s="1" t="s">
        <v>9</v>
      </c>
      <c r="M3" s="2" t="s">
        <v>10</v>
      </c>
      <c r="N3" s="8" t="s">
        <v>11</v>
      </c>
      <c r="O3" s="1">
        <v>0</v>
      </c>
    </row>
    <row r="4" spans="2:17">
      <c r="B4" s="1"/>
      <c r="C4" s="1" t="s">
        <v>12</v>
      </c>
      <c r="D4" s="1">
        <v>1</v>
      </c>
      <c r="E4" s="1">
        <v>0.9</v>
      </c>
      <c r="F4" s="1">
        <v>0.95</v>
      </c>
      <c r="G4" s="1"/>
      <c r="H4" s="4"/>
      <c r="I4" s="1"/>
      <c r="M4" s="1" t="s">
        <v>6</v>
      </c>
      <c r="N4" s="7" t="s">
        <v>13</v>
      </c>
      <c r="O4" s="1">
        <v>300</v>
      </c>
      <c r="Q4" s="6" t="s">
        <v>14</v>
      </c>
    </row>
    <row r="5" spans="2:17">
      <c r="B5" s="1"/>
      <c r="C5" s="1" t="s">
        <v>15</v>
      </c>
      <c r="D5" s="1">
        <v>0.45</v>
      </c>
      <c r="E5" s="1">
        <v>0.5</v>
      </c>
      <c r="F5" s="1">
        <v>0.4</v>
      </c>
      <c r="G5" s="1" t="s">
        <v>16</v>
      </c>
      <c r="H5" s="3">
        <f>SUMPRODUCT(D5:F5,$D$9:$F$9)</f>
        <v>180</v>
      </c>
      <c r="I5" s="1">
        <v>200</v>
      </c>
      <c r="M5" s="1" t="s">
        <v>7</v>
      </c>
      <c r="N5" s="7" t="s">
        <v>17</v>
      </c>
      <c r="O5" s="1">
        <v>75</v>
      </c>
      <c r="Q5" s="2" t="s">
        <v>18</v>
      </c>
    </row>
    <row r="6" spans="2:17">
      <c r="B6" s="1"/>
      <c r="C6" s="1" t="s">
        <v>19</v>
      </c>
      <c r="D6" s="1">
        <v>0.5</v>
      </c>
      <c r="E6" s="1">
        <v>0.4</v>
      </c>
      <c r="F6" s="1">
        <v>0.4</v>
      </c>
      <c r="G6" s="1" t="s">
        <v>16</v>
      </c>
      <c r="H6" s="3">
        <f t="shared" ref="H6:H7" si="0">SUMPRODUCT(D6:F6,$D$9:$F$9)</f>
        <v>150</v>
      </c>
      <c r="I6" s="1">
        <v>150</v>
      </c>
    </row>
    <row r="7" spans="2:17">
      <c r="B7" s="1"/>
      <c r="C7" s="1" t="s">
        <v>20</v>
      </c>
      <c r="D7" s="1">
        <v>0.1</v>
      </c>
      <c r="E7" s="1">
        <v>0.15</v>
      </c>
      <c r="F7" s="1">
        <v>0.2</v>
      </c>
      <c r="G7" s="1" t="s">
        <v>16</v>
      </c>
      <c r="H7" s="3">
        <f t="shared" si="0"/>
        <v>60</v>
      </c>
      <c r="I7" s="1">
        <v>60</v>
      </c>
      <c r="M7" s="1" t="s">
        <v>21</v>
      </c>
      <c r="N7" s="1"/>
    </row>
    <row r="8" spans="2:17">
      <c r="B8" s="1"/>
      <c r="C8" s="1"/>
      <c r="D8" s="1"/>
      <c r="E8" s="1"/>
      <c r="F8" s="1"/>
      <c r="G8" s="1"/>
      <c r="H8" s="4"/>
      <c r="I8" s="1"/>
      <c r="M8" s="1"/>
      <c r="N8" s="1"/>
    </row>
    <row r="9" spans="2:17">
      <c r="B9" s="1"/>
      <c r="C9" s="1" t="s">
        <v>22</v>
      </c>
      <c r="D9" s="5">
        <v>0</v>
      </c>
      <c r="E9" s="5">
        <v>300.00000000000006</v>
      </c>
      <c r="F9" s="5">
        <v>74.999999999999943</v>
      </c>
      <c r="G9" s="1" t="s">
        <v>23</v>
      </c>
      <c r="H9" s="20">
        <f>SUMPRODUCT(D4:F4,D9:F9)</f>
        <v>341.25</v>
      </c>
      <c r="I9" s="1"/>
      <c r="M9" s="1" t="s">
        <v>24</v>
      </c>
      <c r="N9" s="1" t="s">
        <v>25</v>
      </c>
    </row>
    <row r="10" spans="2:17">
      <c r="M10" s="1" t="s">
        <v>26</v>
      </c>
      <c r="N10" s="1"/>
    </row>
    <row r="11" spans="2:17">
      <c r="M11" s="1"/>
      <c r="N11" s="1" t="s">
        <v>27</v>
      </c>
    </row>
    <row r="12" spans="2:17">
      <c r="M12" s="1"/>
      <c r="N12" s="1" t="s">
        <v>28</v>
      </c>
    </row>
    <row r="13" spans="2:17">
      <c r="M13" s="1"/>
      <c r="N13" s="1" t="s">
        <v>29</v>
      </c>
    </row>
    <row r="14" spans="2:17">
      <c r="M14" s="6"/>
      <c r="N14" s="6" t="s">
        <v>30</v>
      </c>
    </row>
    <row r="15" spans="2:17">
      <c r="M15" s="1"/>
      <c r="N15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CA98-CB9C-4C90-BBCE-7E41BF87B760}">
  <dimension ref="A1:G27"/>
  <sheetViews>
    <sheetView workbookViewId="0"/>
  </sheetViews>
  <sheetFormatPr defaultRowHeight="15"/>
  <cols>
    <col min="1" max="1" width="67" bestFit="1" customWidth="1"/>
    <col min="2" max="2" width="10.140625" bestFit="1" customWidth="1"/>
    <col min="3" max="3" width="12" bestFit="1" customWidth="1"/>
    <col min="4" max="4" width="9.5703125" bestFit="1" customWidth="1"/>
    <col min="5" max="5" width="11.140625" bestFit="1" customWidth="1"/>
    <col min="6" max="6" width="11.28515625" bestFit="1" customWidth="1"/>
    <col min="7" max="7" width="5.28515625" bestFit="1" customWidth="1"/>
  </cols>
  <sheetData>
    <row r="1" spans="1:4">
      <c r="A1" s="9" t="s">
        <v>32</v>
      </c>
    </row>
    <row r="2" spans="1:4">
      <c r="A2" s="9" t="s">
        <v>33</v>
      </c>
    </row>
    <row r="3" spans="1:4">
      <c r="A3" s="9" t="s">
        <v>34</v>
      </c>
    </row>
    <row r="4" spans="1:4">
      <c r="A4" s="9" t="s">
        <v>35</v>
      </c>
    </row>
    <row r="5" spans="1:4">
      <c r="A5" s="9" t="s">
        <v>36</v>
      </c>
    </row>
    <row r="6" spans="1:4">
      <c r="A6" s="9" t="s">
        <v>37</v>
      </c>
    </row>
    <row r="7" spans="1:4">
      <c r="A7" s="9" t="s">
        <v>38</v>
      </c>
    </row>
    <row r="8" spans="1:4">
      <c r="A8" s="9" t="s">
        <v>39</v>
      </c>
    </row>
    <row r="9" spans="1:4">
      <c r="A9" s="9" t="s">
        <v>40</v>
      </c>
    </row>
    <row r="12" spans="1:4">
      <c r="A12" s="14" t="s">
        <v>41</v>
      </c>
      <c r="B12" s="14"/>
      <c r="C12" s="14"/>
      <c r="D12" s="14"/>
    </row>
    <row r="13" spans="1:4">
      <c r="A13" s="11"/>
      <c r="B13" s="11" t="s">
        <v>42</v>
      </c>
      <c r="C13" s="11" t="s">
        <v>43</v>
      </c>
      <c r="D13" s="11" t="s">
        <v>44</v>
      </c>
    </row>
    <row r="14" spans="1:4">
      <c r="A14" s="12"/>
      <c r="B14" s="13" t="s">
        <v>45</v>
      </c>
      <c r="C14" s="12">
        <v>341.25</v>
      </c>
      <c r="D14" s="12">
        <v>341.25</v>
      </c>
    </row>
    <row r="17" spans="1:7">
      <c r="A17" s="14" t="s">
        <v>46</v>
      </c>
      <c r="B17" s="14"/>
      <c r="C17" s="14"/>
      <c r="D17" s="14"/>
    </row>
    <row r="18" spans="1:7">
      <c r="A18" s="11"/>
      <c r="B18" s="11" t="s">
        <v>42</v>
      </c>
      <c r="C18" s="11" t="s">
        <v>43</v>
      </c>
      <c r="D18" s="11" t="s">
        <v>44</v>
      </c>
    </row>
    <row r="19" spans="1:7">
      <c r="A19" s="10"/>
      <c r="B19" s="10" t="s">
        <v>47</v>
      </c>
      <c r="C19" s="10">
        <v>0</v>
      </c>
      <c r="D19" s="10">
        <v>0</v>
      </c>
    </row>
    <row r="20" spans="1:7">
      <c r="A20" s="10"/>
      <c r="B20" s="10" t="s">
        <v>48</v>
      </c>
      <c r="C20" s="10">
        <v>299.99999999999989</v>
      </c>
      <c r="D20" s="10">
        <v>299.99999999999989</v>
      </c>
    </row>
    <row r="21" spans="1:7">
      <c r="A21" s="12"/>
      <c r="B21" s="12" t="s">
        <v>49</v>
      </c>
      <c r="C21" s="12">
        <v>75.000000000000114</v>
      </c>
      <c r="D21" s="12">
        <v>75.000000000000114</v>
      </c>
    </row>
    <row r="23" spans="1:7">
      <c r="A23" s="14" t="s">
        <v>50</v>
      </c>
      <c r="B23" s="14"/>
      <c r="C23" s="14"/>
      <c r="D23" s="14"/>
      <c r="E23" s="14"/>
      <c r="F23" s="14"/>
      <c r="G23" s="14"/>
    </row>
    <row r="24" spans="1:7">
      <c r="A24" s="11"/>
      <c r="B24" s="11" t="s">
        <v>42</v>
      </c>
      <c r="C24" s="11" t="s">
        <v>43</v>
      </c>
      <c r="D24" s="11" t="s">
        <v>44</v>
      </c>
      <c r="E24" s="11" t="s">
        <v>51</v>
      </c>
      <c r="F24" s="11" t="s">
        <v>52</v>
      </c>
      <c r="G24" s="11" t="s">
        <v>53</v>
      </c>
    </row>
    <row r="25" spans="1:7">
      <c r="A25" s="10"/>
      <c r="B25" s="10" t="s">
        <v>54</v>
      </c>
      <c r="C25" s="10">
        <v>180</v>
      </c>
      <c r="D25" s="10">
        <v>180</v>
      </c>
      <c r="E25" s="10">
        <v>-1E+30</v>
      </c>
      <c r="F25" s="10">
        <v>200</v>
      </c>
      <c r="G25" s="10">
        <v>20</v>
      </c>
    </row>
    <row r="26" spans="1:7">
      <c r="A26" s="10"/>
      <c r="B26" s="10" t="s">
        <v>55</v>
      </c>
      <c r="C26" s="10">
        <v>150</v>
      </c>
      <c r="D26" s="10">
        <v>150</v>
      </c>
      <c r="E26" s="10">
        <v>-1E+30</v>
      </c>
      <c r="F26" s="10">
        <v>150</v>
      </c>
      <c r="G26" s="10">
        <v>0</v>
      </c>
    </row>
    <row r="27" spans="1:7">
      <c r="A27" s="12"/>
      <c r="B27" s="12" t="s">
        <v>56</v>
      </c>
      <c r="C27" s="12">
        <v>60</v>
      </c>
      <c r="D27" s="12">
        <v>60</v>
      </c>
      <c r="E27" s="12">
        <v>-1E+30</v>
      </c>
      <c r="F27" s="12">
        <v>60</v>
      </c>
      <c r="G27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341A-4C21-4A48-A064-326BD8861116}">
  <dimension ref="B2:L15"/>
  <sheetViews>
    <sheetView showGridLines="0" workbookViewId="0">
      <selection activeCell="L10" sqref="L10"/>
    </sheetView>
  </sheetViews>
  <sheetFormatPr defaultRowHeight="15"/>
  <cols>
    <col min="2" max="2" width="10.28515625" bestFit="1" customWidth="1"/>
    <col min="11" max="11" width="53.85546875" bestFit="1" customWidth="1"/>
    <col min="12" max="12" width="111.85546875" bestFit="1" customWidth="1"/>
  </cols>
  <sheetData>
    <row r="2" spans="2:12">
      <c r="B2" s="1" t="s">
        <v>57</v>
      </c>
      <c r="C2" s="1"/>
      <c r="D2" s="1"/>
      <c r="E2" s="1"/>
      <c r="F2" s="1"/>
      <c r="G2" s="1"/>
      <c r="H2" s="1"/>
      <c r="I2" s="1"/>
    </row>
    <row r="3" spans="2:12">
      <c r="B3" s="1"/>
      <c r="C3" s="1" t="s">
        <v>5</v>
      </c>
      <c r="D3" s="1" t="s">
        <v>6</v>
      </c>
      <c r="E3" s="1" t="s">
        <v>7</v>
      </c>
      <c r="F3" s="1" t="s">
        <v>58</v>
      </c>
      <c r="G3" s="1"/>
      <c r="H3" s="1"/>
      <c r="I3" s="1"/>
      <c r="K3" s="1" t="s">
        <v>59</v>
      </c>
      <c r="L3" s="1" t="s">
        <v>60</v>
      </c>
    </row>
    <row r="4" spans="2:12">
      <c r="B4" s="1" t="s">
        <v>61</v>
      </c>
      <c r="C4" s="1">
        <v>30</v>
      </c>
      <c r="D4" s="1">
        <v>35</v>
      </c>
      <c r="E4" s="1">
        <v>27</v>
      </c>
      <c r="F4" s="1">
        <v>38</v>
      </c>
      <c r="G4" s="1"/>
      <c r="H4" s="1"/>
      <c r="I4" s="1"/>
      <c r="K4" s="1" t="s">
        <v>62</v>
      </c>
      <c r="L4" s="1" t="s">
        <v>63</v>
      </c>
    </row>
    <row r="5" spans="2:12">
      <c r="B5" s="1"/>
      <c r="C5" s="1"/>
      <c r="D5" s="1"/>
      <c r="E5" s="1"/>
      <c r="F5" s="1"/>
      <c r="G5" s="1"/>
      <c r="H5" s="1" t="s">
        <v>64</v>
      </c>
      <c r="I5" s="1" t="s">
        <v>9</v>
      </c>
      <c r="K5" s="1" t="s">
        <v>65</v>
      </c>
      <c r="L5" s="1"/>
    </row>
    <row r="6" spans="2:12">
      <c r="B6" s="1"/>
      <c r="C6" s="1">
        <v>5</v>
      </c>
      <c r="D6" s="1">
        <v>4</v>
      </c>
      <c r="E6" s="1">
        <v>6</v>
      </c>
      <c r="F6" s="1">
        <v>3</v>
      </c>
      <c r="G6" s="1" t="s">
        <v>16</v>
      </c>
      <c r="H6" s="15">
        <f>SUMPRODUCT(C6:F6,$C$9:$F$9)</f>
        <v>675</v>
      </c>
      <c r="I6" s="1">
        <v>675</v>
      </c>
      <c r="K6" s="1" t="s">
        <v>66</v>
      </c>
      <c r="L6" s="1" t="s">
        <v>67</v>
      </c>
    </row>
    <row r="7" spans="2:12">
      <c r="B7" s="1"/>
      <c r="C7" s="1">
        <v>2</v>
      </c>
      <c r="D7" s="1">
        <v>1.5</v>
      </c>
      <c r="E7" s="1">
        <v>3</v>
      </c>
      <c r="F7" s="1">
        <v>1.5</v>
      </c>
      <c r="G7" s="1" t="s">
        <v>16</v>
      </c>
      <c r="H7" s="15">
        <f t="shared" ref="H7:H8" si="0">SUMPRODUCT(C7:F7,$C$9:$F$9)</f>
        <v>337.5</v>
      </c>
      <c r="I7" s="1">
        <v>500</v>
      </c>
    </row>
    <row r="8" spans="2:12">
      <c r="B8" s="1"/>
      <c r="C8" s="1">
        <v>7</v>
      </c>
      <c r="D8" s="1">
        <v>5</v>
      </c>
      <c r="E8" s="1">
        <v>2</v>
      </c>
      <c r="F8" s="1">
        <v>3</v>
      </c>
      <c r="G8" s="1" t="s">
        <v>16</v>
      </c>
      <c r="H8" s="15">
        <f t="shared" si="0"/>
        <v>450.00000000000006</v>
      </c>
      <c r="I8" s="1">
        <v>450</v>
      </c>
    </row>
    <row r="9" spans="2:12">
      <c r="B9" s="1" t="s">
        <v>22</v>
      </c>
      <c r="C9" s="16">
        <v>0</v>
      </c>
      <c r="D9" s="16">
        <v>0</v>
      </c>
      <c r="E9" s="16">
        <v>56.249999999999993</v>
      </c>
      <c r="F9" s="16">
        <v>112.50000000000001</v>
      </c>
      <c r="G9" s="1" t="s">
        <v>68</v>
      </c>
      <c r="H9" s="19">
        <f>SUMPRODUCT(C4:F4,C9:F9)</f>
        <v>5793.7500000000009</v>
      </c>
      <c r="I9" s="1"/>
    </row>
    <row r="11" spans="2:12">
      <c r="B11" s="1"/>
      <c r="C11" s="1" t="s">
        <v>69</v>
      </c>
    </row>
    <row r="12" spans="2:12">
      <c r="B12" s="1" t="s">
        <v>5</v>
      </c>
      <c r="C12" s="1">
        <v>0</v>
      </c>
    </row>
    <row r="13" spans="2:12">
      <c r="B13" s="1" t="s">
        <v>6</v>
      </c>
      <c r="C13" s="1">
        <v>0</v>
      </c>
    </row>
    <row r="14" spans="2:12">
      <c r="B14" s="1" t="s">
        <v>7</v>
      </c>
      <c r="C14" s="1">
        <v>56.25</v>
      </c>
    </row>
    <row r="15" spans="2:12">
      <c r="B15" s="1" t="s">
        <v>58</v>
      </c>
      <c r="C15" s="1">
        <v>112.5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FA68-3DF1-4CA5-9167-53A113A826EA}">
  <dimension ref="A1:G28"/>
  <sheetViews>
    <sheetView workbookViewId="0"/>
  </sheetViews>
  <sheetFormatPr defaultRowHeight="15"/>
  <cols>
    <col min="1" max="1" width="67" bestFit="1" customWidth="1"/>
    <col min="2" max="2" width="10.140625" bestFit="1" customWidth="1"/>
    <col min="3" max="3" width="12" bestFit="1" customWidth="1"/>
    <col min="4" max="4" width="9.5703125" bestFit="1" customWidth="1"/>
    <col min="5" max="5" width="11.140625" bestFit="1" customWidth="1"/>
    <col min="6" max="6" width="11.28515625" bestFit="1" customWidth="1"/>
    <col min="7" max="7" width="11.5703125" bestFit="1" customWidth="1"/>
  </cols>
  <sheetData>
    <row r="1" spans="1:4">
      <c r="A1" s="9" t="s">
        <v>32</v>
      </c>
    </row>
    <row r="2" spans="1:4">
      <c r="A2" s="9" t="s">
        <v>70</v>
      </c>
    </row>
    <row r="3" spans="1:4">
      <c r="A3" s="9" t="s">
        <v>71</v>
      </c>
    </row>
    <row r="4" spans="1:4">
      <c r="A4" s="9" t="s">
        <v>35</v>
      </c>
    </row>
    <row r="5" spans="1:4">
      <c r="A5" s="9" t="s">
        <v>36</v>
      </c>
    </row>
    <row r="6" spans="1:4">
      <c r="A6" s="9" t="s">
        <v>37</v>
      </c>
    </row>
    <row r="7" spans="1:4">
      <c r="A7" s="9" t="s">
        <v>72</v>
      </c>
    </row>
    <row r="8" spans="1:4">
      <c r="A8" s="9" t="s">
        <v>73</v>
      </c>
    </row>
    <row r="9" spans="1:4">
      <c r="A9" s="9" t="s">
        <v>74</v>
      </c>
    </row>
    <row r="12" spans="1:4">
      <c r="A12" s="14" t="s">
        <v>41</v>
      </c>
      <c r="B12" s="14"/>
      <c r="C12" s="14"/>
      <c r="D12" s="14"/>
    </row>
    <row r="13" spans="1:4">
      <c r="A13" s="11"/>
      <c r="B13" s="11" t="s">
        <v>42</v>
      </c>
      <c r="C13" s="11" t="s">
        <v>43</v>
      </c>
      <c r="D13" s="11" t="s">
        <v>44</v>
      </c>
    </row>
    <row r="14" spans="1:4">
      <c r="A14" s="12"/>
      <c r="B14" s="13" t="s">
        <v>75</v>
      </c>
      <c r="C14" s="12">
        <v>0</v>
      </c>
      <c r="D14" s="12">
        <v>4331.25</v>
      </c>
    </row>
    <row r="17" spans="1:7">
      <c r="A17" s="14" t="s">
        <v>46</v>
      </c>
      <c r="B17" s="14"/>
      <c r="C17" s="14"/>
      <c r="D17" s="14"/>
    </row>
    <row r="18" spans="1:7">
      <c r="A18" s="11"/>
      <c r="B18" s="11" t="s">
        <v>42</v>
      </c>
      <c r="C18" s="11" t="s">
        <v>43</v>
      </c>
      <c r="D18" s="11" t="s">
        <v>44</v>
      </c>
    </row>
    <row r="19" spans="1:7">
      <c r="A19" s="10"/>
      <c r="B19" s="10" t="s">
        <v>76</v>
      </c>
      <c r="C19" s="10">
        <v>0</v>
      </c>
      <c r="D19" s="10">
        <v>0</v>
      </c>
    </row>
    <row r="20" spans="1:7">
      <c r="A20" s="10"/>
      <c r="B20" s="10" t="s">
        <v>47</v>
      </c>
      <c r="C20" s="10">
        <v>0</v>
      </c>
      <c r="D20" s="10">
        <v>0</v>
      </c>
    </row>
    <row r="21" spans="1:7">
      <c r="A21" s="10"/>
      <c r="B21" s="10" t="s">
        <v>48</v>
      </c>
      <c r="C21" s="10">
        <v>0</v>
      </c>
      <c r="D21" s="10">
        <v>56.249999999999993</v>
      </c>
    </row>
    <row r="22" spans="1:7">
      <c r="A22" s="12"/>
      <c r="B22" s="12" t="s">
        <v>49</v>
      </c>
      <c r="C22" s="12">
        <v>0</v>
      </c>
      <c r="D22" s="12">
        <v>112.50000000000001</v>
      </c>
    </row>
    <row r="24" spans="1:7">
      <c r="A24" s="14" t="s">
        <v>50</v>
      </c>
      <c r="B24" s="14"/>
      <c r="C24" s="14"/>
      <c r="D24" s="14"/>
      <c r="E24" s="14"/>
      <c r="F24" s="14"/>
      <c r="G24" s="14"/>
    </row>
    <row r="25" spans="1:7">
      <c r="A25" s="11"/>
      <c r="B25" s="11" t="s">
        <v>42</v>
      </c>
      <c r="C25" s="11" t="s">
        <v>43</v>
      </c>
      <c r="D25" s="11" t="s">
        <v>44</v>
      </c>
      <c r="E25" s="11" t="s">
        <v>51</v>
      </c>
      <c r="F25" s="11" t="s">
        <v>52</v>
      </c>
      <c r="G25" s="11" t="s">
        <v>53</v>
      </c>
    </row>
    <row r="26" spans="1:7">
      <c r="A26" s="10"/>
      <c r="B26" s="10" t="s">
        <v>55</v>
      </c>
      <c r="C26" s="10">
        <v>0</v>
      </c>
      <c r="D26" s="10">
        <v>675</v>
      </c>
      <c r="E26" s="10">
        <v>-1E+30</v>
      </c>
      <c r="F26" s="10">
        <v>675</v>
      </c>
      <c r="G26" s="10">
        <v>0</v>
      </c>
    </row>
    <row r="27" spans="1:7">
      <c r="A27" s="10"/>
      <c r="B27" s="10" t="s">
        <v>56</v>
      </c>
      <c r="C27" s="10">
        <v>0</v>
      </c>
      <c r="D27" s="10">
        <v>337.5</v>
      </c>
      <c r="E27" s="10">
        <v>-1E+30</v>
      </c>
      <c r="F27" s="10">
        <v>500</v>
      </c>
      <c r="G27" s="10">
        <v>162.5</v>
      </c>
    </row>
    <row r="28" spans="1:7">
      <c r="A28" s="12"/>
      <c r="B28" s="12" t="s">
        <v>77</v>
      </c>
      <c r="C28" s="12">
        <v>0</v>
      </c>
      <c r="D28" s="12">
        <v>450.00000000000006</v>
      </c>
      <c r="E28" s="12">
        <v>-1E+30</v>
      </c>
      <c r="F28" s="12">
        <v>450</v>
      </c>
      <c r="G28" s="12">
        <v>-5.6843418860808015E-14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8E16-1D53-4D17-9AFD-EE38EB18DC2B}">
  <dimension ref="A1:G23"/>
  <sheetViews>
    <sheetView workbookViewId="0">
      <selection activeCell="F15" sqref="F15"/>
    </sheetView>
  </sheetViews>
  <sheetFormatPr defaultRowHeight="15"/>
  <cols>
    <col min="1" max="1" width="62.7109375" bestFit="1" customWidth="1"/>
    <col min="2" max="2" width="10.140625" bestFit="1" customWidth="1"/>
    <col min="3" max="3" width="12" bestFit="1" customWidth="1"/>
    <col min="4" max="4" width="11.140625" bestFit="1" customWidth="1"/>
    <col min="5" max="6" width="17" bestFit="1" customWidth="1"/>
    <col min="7" max="7" width="8.7109375" bestFit="1" customWidth="1"/>
  </cols>
  <sheetData>
    <row r="1" spans="1:6">
      <c r="A1" s="9" t="s">
        <v>78</v>
      </c>
    </row>
    <row r="2" spans="1:6">
      <c r="A2" s="9" t="s">
        <v>79</v>
      </c>
    </row>
    <row r="3" spans="1:6">
      <c r="A3" s="9" t="s">
        <v>80</v>
      </c>
    </row>
    <row r="4" spans="1:6">
      <c r="A4" s="9" t="s">
        <v>36</v>
      </c>
    </row>
    <row r="6" spans="1:6">
      <c r="A6" s="14" t="s">
        <v>41</v>
      </c>
      <c r="B6" s="14"/>
      <c r="C6" s="14"/>
      <c r="D6" s="14"/>
    </row>
    <row r="7" spans="1:6">
      <c r="A7" s="11"/>
      <c r="B7" s="11" t="s">
        <v>42</v>
      </c>
      <c r="C7" s="11" t="s">
        <v>43</v>
      </c>
      <c r="D7" s="11" t="s">
        <v>44</v>
      </c>
    </row>
    <row r="8" spans="1:6">
      <c r="A8" s="12"/>
      <c r="B8" s="13" t="s">
        <v>75</v>
      </c>
      <c r="C8" s="12">
        <v>0</v>
      </c>
      <c r="D8" s="12">
        <v>4331.25</v>
      </c>
    </row>
    <row r="10" spans="1:6">
      <c r="A10" s="14" t="s">
        <v>46</v>
      </c>
      <c r="B10" s="14"/>
      <c r="C10" s="14"/>
      <c r="D10" s="14"/>
      <c r="E10" s="14"/>
      <c r="F10" s="14"/>
    </row>
    <row r="11" spans="1:6">
      <c r="A11" s="11"/>
      <c r="B11" s="11"/>
      <c r="C11" s="11" t="s">
        <v>81</v>
      </c>
      <c r="D11" s="11" t="s">
        <v>82</v>
      </c>
      <c r="E11" s="11" t="s">
        <v>83</v>
      </c>
      <c r="F11" s="11" t="s">
        <v>84</v>
      </c>
    </row>
    <row r="12" spans="1:6">
      <c r="A12" s="11"/>
      <c r="B12" s="11" t="s">
        <v>42</v>
      </c>
      <c r="C12" s="11" t="s">
        <v>85</v>
      </c>
      <c r="D12" s="11" t="s">
        <v>86</v>
      </c>
      <c r="E12" s="11" t="s">
        <v>87</v>
      </c>
      <c r="F12" s="11" t="s">
        <v>87</v>
      </c>
    </row>
    <row r="13" spans="1:6">
      <c r="A13" s="10"/>
      <c r="B13" s="10" t="s">
        <v>76</v>
      </c>
      <c r="C13" s="10">
        <v>0</v>
      </c>
      <c r="D13" s="10">
        <v>-23.166666666666664</v>
      </c>
      <c r="E13" s="10">
        <v>53.166666666666664</v>
      </c>
      <c r="F13" s="10">
        <v>-1E+30</v>
      </c>
    </row>
    <row r="14" spans="1:6">
      <c r="A14" s="10"/>
      <c r="B14" s="10" t="s">
        <v>47</v>
      </c>
      <c r="C14" s="10">
        <v>0</v>
      </c>
      <c r="D14" s="10">
        <v>-4.0833333333333295</v>
      </c>
      <c r="E14" s="10">
        <v>39.083333333333329</v>
      </c>
      <c r="F14" s="10">
        <v>-1E+30</v>
      </c>
    </row>
    <row r="15" spans="1:6">
      <c r="A15" s="10"/>
      <c r="B15" s="10" t="s">
        <v>48</v>
      </c>
      <c r="C15" s="10">
        <v>56.249999999999993</v>
      </c>
      <c r="D15" s="10">
        <v>0</v>
      </c>
      <c r="E15" s="10">
        <v>43.333333619047607</v>
      </c>
      <c r="F15" s="10">
        <v>16.666666599999999</v>
      </c>
    </row>
    <row r="16" spans="1:6">
      <c r="A16" s="12"/>
      <c r="B16" s="12" t="s">
        <v>49</v>
      </c>
      <c r="C16" s="12">
        <v>112.50000000000001</v>
      </c>
      <c r="D16" s="12">
        <v>0</v>
      </c>
      <c r="E16" s="12">
        <v>40.500000100000001</v>
      </c>
      <c r="F16" s="12">
        <v>22.772727233766236</v>
      </c>
    </row>
    <row r="18" spans="1:7">
      <c r="A18" s="14" t="s">
        <v>50</v>
      </c>
      <c r="B18" s="14"/>
      <c r="C18" s="14"/>
      <c r="D18" s="14"/>
      <c r="E18" s="14"/>
      <c r="F18" s="14"/>
      <c r="G18" s="14"/>
    </row>
    <row r="19" spans="1:7">
      <c r="A19" s="11"/>
      <c r="B19" s="11"/>
      <c r="C19" s="11" t="s">
        <v>81</v>
      </c>
      <c r="D19" s="11" t="s">
        <v>88</v>
      </c>
      <c r="E19" s="11" t="s">
        <v>89</v>
      </c>
      <c r="F19" s="11" t="s">
        <v>90</v>
      </c>
      <c r="G19" s="11" t="s">
        <v>90</v>
      </c>
    </row>
    <row r="20" spans="1:7">
      <c r="A20" s="11"/>
      <c r="B20" s="11" t="s">
        <v>42</v>
      </c>
      <c r="C20" s="11" t="s">
        <v>85</v>
      </c>
      <c r="D20" s="11" t="s">
        <v>91</v>
      </c>
      <c r="E20" s="11" t="s">
        <v>92</v>
      </c>
      <c r="F20" s="11" t="s">
        <v>93</v>
      </c>
      <c r="G20" s="11" t="s">
        <v>94</v>
      </c>
    </row>
    <row r="21" spans="1:7">
      <c r="A21" s="10"/>
      <c r="B21" s="10" t="s">
        <v>55</v>
      </c>
      <c r="C21" s="10">
        <v>675</v>
      </c>
      <c r="D21" s="10">
        <v>2.583333333333333</v>
      </c>
      <c r="E21" s="10">
        <v>675</v>
      </c>
      <c r="F21" s="10">
        <v>325</v>
      </c>
      <c r="G21" s="10">
        <v>224.99999999999994</v>
      </c>
    </row>
    <row r="22" spans="1:7">
      <c r="A22" s="10"/>
      <c r="B22" s="10" t="s">
        <v>56</v>
      </c>
      <c r="C22" s="10">
        <v>337.5</v>
      </c>
      <c r="D22" s="10">
        <v>0</v>
      </c>
      <c r="E22" s="10">
        <v>500</v>
      </c>
      <c r="F22" s="10">
        <v>1E+30</v>
      </c>
      <c r="G22" s="10">
        <v>162.5</v>
      </c>
    </row>
    <row r="23" spans="1:7">
      <c r="A23" s="12"/>
      <c r="B23" s="12" t="s">
        <v>77</v>
      </c>
      <c r="C23" s="12">
        <v>450.00000000000006</v>
      </c>
      <c r="D23" s="12">
        <v>5.75</v>
      </c>
      <c r="E23" s="12">
        <v>450</v>
      </c>
      <c r="F23" s="12">
        <v>225</v>
      </c>
      <c r="G23" s="12">
        <v>225.00000000000003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66F2-9149-4337-8F70-3789DD06EF58}">
  <dimension ref="B2:O12"/>
  <sheetViews>
    <sheetView showGridLines="0" workbookViewId="0">
      <selection activeCell="O9" sqref="O9"/>
    </sheetView>
  </sheetViews>
  <sheetFormatPr defaultRowHeight="15"/>
  <cols>
    <col min="2" max="2" width="10.28515625" bestFit="1" customWidth="1"/>
    <col min="6" max="6" width="13.7109375" bestFit="1" customWidth="1"/>
    <col min="12" max="12" width="17" bestFit="1" customWidth="1"/>
    <col min="13" max="13" width="11.42578125" bestFit="1" customWidth="1"/>
    <col min="15" max="15" width="83.28515625" bestFit="1" customWidth="1"/>
  </cols>
  <sheetData>
    <row r="2" spans="2:15">
      <c r="B2" s="1" t="s">
        <v>95</v>
      </c>
      <c r="C2" s="1"/>
      <c r="D2" s="1"/>
      <c r="E2" s="1"/>
      <c r="F2" s="1"/>
      <c r="G2" s="1"/>
      <c r="K2" s="1"/>
      <c r="L2" s="7" t="s">
        <v>96</v>
      </c>
      <c r="M2" s="1" t="s">
        <v>3</v>
      </c>
    </row>
    <row r="3" spans="2:15">
      <c r="B3" s="1"/>
      <c r="C3" s="1" t="s">
        <v>5</v>
      </c>
      <c r="D3" s="1" t="s">
        <v>6</v>
      </c>
      <c r="E3" s="1"/>
      <c r="F3" s="1"/>
      <c r="G3" s="1"/>
      <c r="K3" s="1" t="s">
        <v>5</v>
      </c>
      <c r="L3" s="7" t="s">
        <v>97</v>
      </c>
      <c r="M3" s="1">
        <v>6</v>
      </c>
      <c r="O3" s="6" t="s">
        <v>98</v>
      </c>
    </row>
    <row r="4" spans="2:15">
      <c r="B4" s="1" t="s">
        <v>12</v>
      </c>
      <c r="C4" s="1">
        <v>3000</v>
      </c>
      <c r="D4" s="1">
        <v>2000</v>
      </c>
      <c r="E4" s="1"/>
      <c r="F4" s="1" t="s">
        <v>64</v>
      </c>
      <c r="G4" s="1" t="s">
        <v>9</v>
      </c>
      <c r="K4" s="1" t="s">
        <v>6</v>
      </c>
      <c r="L4" s="7" t="s">
        <v>99</v>
      </c>
      <c r="M4" s="1">
        <v>0</v>
      </c>
      <c r="O4" s="22" t="s">
        <v>100</v>
      </c>
    </row>
    <row r="5" spans="2:15">
      <c r="B5" s="1"/>
      <c r="C5" s="1"/>
      <c r="D5" s="1"/>
      <c r="E5" s="1"/>
      <c r="F5" s="1"/>
      <c r="G5" s="1"/>
      <c r="O5" s="22" t="s">
        <v>101</v>
      </c>
    </row>
    <row r="6" spans="2:15">
      <c r="B6" s="1" t="s">
        <v>102</v>
      </c>
      <c r="C6" s="1">
        <v>0.5</v>
      </c>
      <c r="D6" s="1">
        <v>0.3</v>
      </c>
      <c r="E6" s="1" t="s">
        <v>16</v>
      </c>
      <c r="F6" s="15">
        <f>SUMPRODUCT(C6:D6,$C$10:$D$10)</f>
        <v>3</v>
      </c>
      <c r="G6" s="1">
        <v>3</v>
      </c>
      <c r="K6" s="1" t="s">
        <v>24</v>
      </c>
      <c r="L6" s="1" t="s">
        <v>103</v>
      </c>
      <c r="O6" s="2" t="s">
        <v>104</v>
      </c>
    </row>
    <row r="7" spans="2:15">
      <c r="B7" s="1" t="s">
        <v>105</v>
      </c>
      <c r="C7" s="1">
        <v>0.1</v>
      </c>
      <c r="D7" s="1">
        <v>0.2</v>
      </c>
      <c r="E7" s="1" t="s">
        <v>16</v>
      </c>
      <c r="F7" s="15">
        <f>SUMPRODUCT(C7:D7,$C$10:$D$10)</f>
        <v>0.60000000000000009</v>
      </c>
      <c r="G7" s="1">
        <v>1</v>
      </c>
      <c r="K7" s="1" t="s">
        <v>26</v>
      </c>
      <c r="L7" s="1"/>
    </row>
    <row r="8" spans="2:15">
      <c r="B8" s="6" t="s">
        <v>106</v>
      </c>
      <c r="C8" s="6">
        <v>0.4</v>
      </c>
      <c r="D8" s="6">
        <v>0.5</v>
      </c>
      <c r="E8" s="6" t="s">
        <v>16</v>
      </c>
      <c r="F8" s="17">
        <f>SUMPRODUCT(C8:D8,$C$10:$D$10)</f>
        <v>2.4000000000000004</v>
      </c>
      <c r="G8" s="6">
        <v>3</v>
      </c>
      <c r="K8" s="1"/>
      <c r="L8" s="1" t="s">
        <v>107</v>
      </c>
    </row>
    <row r="9" spans="2:15">
      <c r="B9" s="1"/>
      <c r="C9" s="1"/>
      <c r="D9" s="1"/>
      <c r="E9" s="1"/>
      <c r="F9" s="1"/>
      <c r="G9" s="1"/>
      <c r="K9" s="1"/>
      <c r="L9" s="1" t="s">
        <v>108</v>
      </c>
    </row>
    <row r="10" spans="2:15">
      <c r="B10" s="2" t="s">
        <v>22</v>
      </c>
      <c r="C10" s="18">
        <v>6</v>
      </c>
      <c r="D10" s="18">
        <v>0</v>
      </c>
      <c r="E10" s="2" t="s">
        <v>23</v>
      </c>
      <c r="F10" s="21">
        <f>SUMPRODUCT(C4:D4,C10:D10)</f>
        <v>18000</v>
      </c>
      <c r="G10" s="2"/>
      <c r="K10" s="6"/>
      <c r="L10" s="6" t="s">
        <v>109</v>
      </c>
    </row>
    <row r="11" spans="2:15">
      <c r="K11" s="6"/>
      <c r="L11" s="6" t="s">
        <v>110</v>
      </c>
    </row>
    <row r="12" spans="2:15">
      <c r="K12" s="1"/>
      <c r="L12" s="1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2245-56D7-4271-A069-B98792D8B984}">
  <dimension ref="A1:G26"/>
  <sheetViews>
    <sheetView tabSelected="1" workbookViewId="0">
      <selection activeCell="G14" sqref="G14"/>
    </sheetView>
  </sheetViews>
  <sheetFormatPr defaultRowHeight="15"/>
  <cols>
    <col min="1" max="1" width="67" bestFit="1" customWidth="1"/>
    <col min="2" max="2" width="10.7109375" bestFit="1" customWidth="1"/>
    <col min="3" max="3" width="12" bestFit="1" customWidth="1"/>
    <col min="4" max="4" width="9.5703125" bestFit="1" customWidth="1"/>
    <col min="5" max="5" width="11.140625" bestFit="1" customWidth="1"/>
    <col min="6" max="6" width="11.28515625" bestFit="1" customWidth="1"/>
    <col min="7" max="7" width="5.28515625" bestFit="1" customWidth="1"/>
  </cols>
  <sheetData>
    <row r="1" spans="1:4">
      <c r="A1" s="9" t="s">
        <v>32</v>
      </c>
    </row>
    <row r="2" spans="1:4">
      <c r="A2" s="9" t="s">
        <v>112</v>
      </c>
    </row>
    <row r="3" spans="1:4">
      <c r="A3" s="9" t="s">
        <v>113</v>
      </c>
    </row>
    <row r="4" spans="1:4">
      <c r="A4" s="9" t="s">
        <v>35</v>
      </c>
    </row>
    <row r="5" spans="1:4">
      <c r="A5" s="9" t="s">
        <v>36</v>
      </c>
    </row>
    <row r="6" spans="1:4">
      <c r="A6" s="9" t="s">
        <v>37</v>
      </c>
    </row>
    <row r="7" spans="1:4">
      <c r="A7" s="9" t="s">
        <v>72</v>
      </c>
    </row>
    <row r="8" spans="1:4">
      <c r="A8" s="9" t="s">
        <v>114</v>
      </c>
    </row>
    <row r="9" spans="1:4">
      <c r="A9" s="9" t="s">
        <v>74</v>
      </c>
    </row>
    <row r="12" spans="1:4">
      <c r="A12" s="14" t="s">
        <v>41</v>
      </c>
      <c r="B12" s="14"/>
      <c r="C12" s="14"/>
      <c r="D12" s="14"/>
    </row>
    <row r="13" spans="1:4">
      <c r="A13" s="11"/>
      <c r="B13" s="11" t="s">
        <v>42</v>
      </c>
      <c r="C13" s="11" t="s">
        <v>43</v>
      </c>
      <c r="D13" s="11" t="s">
        <v>44</v>
      </c>
    </row>
    <row r="14" spans="1:4">
      <c r="A14" s="12"/>
      <c r="B14" s="13" t="s">
        <v>115</v>
      </c>
      <c r="C14" s="12">
        <v>18000</v>
      </c>
      <c r="D14" s="12">
        <v>18000</v>
      </c>
    </row>
    <row r="17" spans="1:7">
      <c r="A17" s="14" t="s">
        <v>46</v>
      </c>
      <c r="B17" s="14"/>
      <c r="C17" s="14"/>
      <c r="D17" s="14"/>
    </row>
    <row r="18" spans="1:7">
      <c r="A18" s="11"/>
      <c r="B18" s="11" t="s">
        <v>42</v>
      </c>
      <c r="C18" s="11" t="s">
        <v>43</v>
      </c>
      <c r="D18" s="11" t="s">
        <v>44</v>
      </c>
    </row>
    <row r="19" spans="1:7">
      <c r="A19" s="10"/>
      <c r="B19" s="10" t="s">
        <v>116</v>
      </c>
      <c r="C19" s="10">
        <v>6</v>
      </c>
      <c r="D19" s="10">
        <v>6</v>
      </c>
    </row>
    <row r="20" spans="1:7">
      <c r="A20" s="12"/>
      <c r="B20" s="12" t="s">
        <v>117</v>
      </c>
      <c r="C20" s="12">
        <v>0</v>
      </c>
      <c r="D20" s="12">
        <v>0</v>
      </c>
    </row>
    <row r="22" spans="1:7">
      <c r="A22" s="14" t="s">
        <v>50</v>
      </c>
      <c r="B22" s="14"/>
      <c r="C22" s="14"/>
      <c r="D22" s="14"/>
      <c r="E22" s="14"/>
      <c r="F22" s="14"/>
      <c r="G22" s="14"/>
    </row>
    <row r="23" spans="1:7">
      <c r="A23" s="11"/>
      <c r="B23" s="11" t="s">
        <v>42</v>
      </c>
      <c r="C23" s="11" t="s">
        <v>43</v>
      </c>
      <c r="D23" s="11" t="s">
        <v>44</v>
      </c>
      <c r="E23" s="11" t="s">
        <v>51</v>
      </c>
      <c r="F23" s="11" t="s">
        <v>52</v>
      </c>
      <c r="G23" s="11" t="s">
        <v>53</v>
      </c>
    </row>
    <row r="24" spans="1:7">
      <c r="A24" s="10"/>
      <c r="B24" s="10" t="s">
        <v>118</v>
      </c>
      <c r="C24" s="10">
        <v>3</v>
      </c>
      <c r="D24" s="10">
        <v>3</v>
      </c>
      <c r="E24" s="10">
        <v>-1E+30</v>
      </c>
      <c r="F24" s="10">
        <v>3</v>
      </c>
      <c r="G24" s="10">
        <v>0</v>
      </c>
    </row>
    <row r="25" spans="1:7">
      <c r="A25" s="10"/>
      <c r="B25" s="10" t="s">
        <v>119</v>
      </c>
      <c r="C25" s="10">
        <v>0.60000000000000009</v>
      </c>
      <c r="D25" s="10">
        <v>0.60000000000000009</v>
      </c>
      <c r="E25" s="10">
        <v>-1E+30</v>
      </c>
      <c r="F25" s="10">
        <v>1</v>
      </c>
      <c r="G25" s="10">
        <v>0.39999999999999991</v>
      </c>
    </row>
    <row r="26" spans="1:7">
      <c r="A26" s="12"/>
      <c r="B26" s="12" t="s">
        <v>120</v>
      </c>
      <c r="C26" s="12">
        <v>2.4000000000000004</v>
      </c>
      <c r="D26" s="12">
        <v>2.4000000000000004</v>
      </c>
      <c r="E26" s="12">
        <v>-1E+30</v>
      </c>
      <c r="F26" s="12">
        <v>3</v>
      </c>
      <c r="G26" s="12">
        <v>0.59999999999999964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2026-09-29T22:34:58Z</dcterms:created>
  <dcterms:modified xsi:type="dcterms:W3CDTF">2026-09-30T00:06:43Z</dcterms:modified>
  <cp:category/>
  <cp:contentStatus/>
</cp:coreProperties>
</file>