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81229C1C-5269-4709-AB7A-CB7ACC6470C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Exemplo - Aula" sheetId="2" r:id="rId1"/>
    <sheet name="Exercício 1" sheetId="1" r:id="rId2"/>
    <sheet name="Exercício 2" sheetId="3" r:id="rId3"/>
  </sheets>
  <definedNames>
    <definedName name="coin_cuttype" localSheetId="2" hidden="1">1</definedName>
    <definedName name="coin_dualtol" localSheetId="2" hidden="1">0.0000001</definedName>
    <definedName name="coin_heurs" localSheetId="2" hidden="1">1</definedName>
    <definedName name="coin_integerpresolve" localSheetId="2" hidden="1">1</definedName>
    <definedName name="coin_presolve1" localSheetId="2" hidden="1">1</definedName>
    <definedName name="coin_primaltol" localSheetId="2" hidden="1">0.0000001</definedName>
    <definedName name="solver_adj" localSheetId="0" hidden="1">'Exemplo - Aula'!$F$10:$G$10</definedName>
    <definedName name="solver_adj" localSheetId="1" hidden="1">'Exercício 1'!$D$20:$E$20</definedName>
    <definedName name="solver_adj" localSheetId="2" hidden="1">'Exercício 2'!$D$13:$G$13</definedName>
    <definedName name="solver_cvg" localSheetId="2" hidden="1">0.0001</definedName>
    <definedName name="solver_eng" localSheetId="1" hidden="1">0</definedName>
    <definedName name="solver_eng" localSheetId="0" hidden="1">0</definedName>
    <definedName name="solver_eng" localSheetId="2" hidden="1">0</definedName>
    <definedName name="solver_est" localSheetId="2" hidden="1">1</definedName>
    <definedName name="solver_kiv" localSheetId="2" hidden="1">2E+30</definedName>
    <definedName name="solver_lhs1" localSheetId="0" hidden="1">'Exemplo - Aula'!$I$6:$I$8</definedName>
    <definedName name="solver_lhs1" localSheetId="1" hidden="1">'Exercício 1'!$G$16:$G$17</definedName>
    <definedName name="solver_lhs1" localSheetId="2" hidden="1">'Exercício 2'!$I$10</definedName>
    <definedName name="solver_lhs10" localSheetId="2" hidden="1">'Exercício 2'!$I$6</definedName>
    <definedName name="solver_lhs11" localSheetId="2" hidden="1">'Exercício 2'!$I$6</definedName>
    <definedName name="solver_lhs12" localSheetId="2" hidden="1">'Exercício 2'!$I$6</definedName>
    <definedName name="solver_lhs13" localSheetId="2" hidden="1">'Exercício 2'!$I$6</definedName>
    <definedName name="solver_lhs14" localSheetId="2" hidden="1">'Exercício 2'!$I$6</definedName>
    <definedName name="solver_lhs15" localSheetId="2" hidden="1">'Exercício 2'!$I$6</definedName>
    <definedName name="solver_lhs16" localSheetId="2" hidden="1">'Exercício 2'!$I$6</definedName>
    <definedName name="solver_lhs17" localSheetId="2" hidden="1">'Exercício 2'!$I$7:$I$8</definedName>
    <definedName name="solver_lhs18" localSheetId="2" hidden="1">'Exercício 2'!$I$7:$I$8</definedName>
    <definedName name="solver_lhs19" localSheetId="2" hidden="1">'Exercício 2'!$I$7:$I$8</definedName>
    <definedName name="solver_lhs2" localSheetId="1" hidden="1">'Exercício 1'!$G$16:$G$17</definedName>
    <definedName name="solver_lhs2" localSheetId="2" hidden="1">'Exercício 2'!$I$6</definedName>
    <definedName name="solver_lhs20" localSheetId="2" hidden="1">'Exercício 2'!$I$7:$I$8</definedName>
    <definedName name="solver_lhs21" localSheetId="2" hidden="1">'Exercício 2'!$I$7:$I$8</definedName>
    <definedName name="solver_lhs22" localSheetId="2" hidden="1">'Exercício 2'!$I$7:$I$8</definedName>
    <definedName name="solver_lhs23" localSheetId="2" hidden="1">'Exercício 2'!$I$7:$I$8</definedName>
    <definedName name="solver_lhs24" localSheetId="2" hidden="1">'Exercício 2'!$I$7:$I$8</definedName>
    <definedName name="solver_lhs25" localSheetId="2" hidden="1">'Exercício 2'!$I$7:$I$8</definedName>
    <definedName name="solver_lhs26" localSheetId="2" hidden="1">'Exercício 2'!$I$7:$I$8</definedName>
    <definedName name="solver_lhs27" localSheetId="2" hidden="1">'Exercício 2'!$I$7:$I$8</definedName>
    <definedName name="solver_lhs28" localSheetId="2" hidden="1">'Exercício 2'!$I$7:$I$8</definedName>
    <definedName name="solver_lhs29" localSheetId="2" hidden="1">'Exercício 2'!$I$7:$I$8</definedName>
    <definedName name="solver_lhs3" localSheetId="1" hidden="1">'Exercício 1'!$G$18</definedName>
    <definedName name="solver_lhs3" localSheetId="2" hidden="1">'Exercício 2'!$I$7:$I$8</definedName>
    <definedName name="solver_lhs30" localSheetId="2" hidden="1">'Exercício 2'!$I$7:$I$8</definedName>
    <definedName name="solver_lhs31" localSheetId="2" hidden="1">'Exercício 2'!$I$7:$I$8</definedName>
    <definedName name="solver_lhs32" localSheetId="2" hidden="1">'Exercício 2'!$I$7:$I$8</definedName>
    <definedName name="solver_lhs33" localSheetId="2" hidden="1">'Exercício 2'!$I$7:$I$8</definedName>
    <definedName name="solver_lhs34" localSheetId="2" hidden="1">'Exercício 2'!$I$7:$I$8</definedName>
    <definedName name="solver_lhs35" localSheetId="2" hidden="1">'Exercício 2'!$I$7:$I$8</definedName>
    <definedName name="solver_lhs36" localSheetId="2" hidden="1">'Exercício 2'!$I$7:$I$8</definedName>
    <definedName name="solver_lhs4" localSheetId="2" hidden="1">'Exercício 2'!$I$11</definedName>
    <definedName name="solver_lhs5" localSheetId="2" hidden="1">'Exercício 2'!$I$9</definedName>
    <definedName name="solver_lhs6" localSheetId="2" hidden="1">'Exercício 2'!$I$12</definedName>
    <definedName name="solver_lhs7" localSheetId="2" hidden="1">'Exercício 2'!$I$6</definedName>
    <definedName name="solver_lhs8" localSheetId="2" hidden="1">'Exercício 2'!$I$6</definedName>
    <definedName name="solver_lhs9" localSheetId="2" hidden="1">'Exercício 2'!$I$6</definedName>
    <definedName name="solver_mni" localSheetId="2" hidden="1">30</definedName>
    <definedName name="solver_mrt" localSheetId="2" hidden="1">0.075</definedName>
    <definedName name="solver_msl" localSheetId="2" hidden="1">0</definedName>
    <definedName name="solver_neg" localSheetId="1" hidden="1">1</definedName>
    <definedName name="solver_neg" localSheetId="2" hidden="1">1</definedName>
    <definedName name="solver_num" localSheetId="0" hidden="1">1</definedName>
    <definedName name="solver_num" localSheetId="1" hidden="1">2</definedName>
    <definedName name="solver_num" localSheetId="2" hidden="1">6</definedName>
    <definedName name="solver_nwt" localSheetId="2" hidden="1">1</definedName>
    <definedName name="solver_opt" localSheetId="0" hidden="1">'Exemplo - Aula'!$H$20</definedName>
    <definedName name="solver_opt" localSheetId="2" hidden="1">'Exercício 2'!$I$13</definedName>
    <definedName name="solver_pre" localSheetId="2" hidden="1">0.000001</definedName>
    <definedName name="solver_rbv" localSheetId="2" hidden="1">1</definedName>
    <definedName name="solver_rel1" localSheetId="0" hidden="1">1</definedName>
    <definedName name="solver_rel1" localSheetId="1" hidden="1">3</definedName>
    <definedName name="solver_rel1" localSheetId="2" hidden="1">2</definedName>
    <definedName name="solver_rel10" localSheetId="2" hidden="1">2</definedName>
    <definedName name="solver_rel11" localSheetId="2" hidden="1">2</definedName>
    <definedName name="solver_rel12" localSheetId="2" hidden="1">2</definedName>
    <definedName name="solver_rel13" localSheetId="2" hidden="1">2</definedName>
    <definedName name="solver_rel14" localSheetId="2" hidden="1">2</definedName>
    <definedName name="solver_rel15" localSheetId="2" hidden="1">2</definedName>
    <definedName name="solver_rel16" localSheetId="2" hidden="1">2</definedName>
    <definedName name="solver_rel17" localSheetId="2" hidden="1">3</definedName>
    <definedName name="solver_rel18" localSheetId="2" hidden="1">3</definedName>
    <definedName name="solver_rel19" localSheetId="2" hidden="1">3</definedName>
    <definedName name="solver_rel2" localSheetId="1" hidden="1">3</definedName>
    <definedName name="solver_rel2" localSheetId="2" hidden="1">2</definedName>
    <definedName name="solver_rel20" localSheetId="2" hidden="1">3</definedName>
    <definedName name="solver_rel21" localSheetId="2" hidden="1">3</definedName>
    <definedName name="solver_rel22" localSheetId="2" hidden="1">3</definedName>
    <definedName name="solver_rel23" localSheetId="2" hidden="1">3</definedName>
    <definedName name="solver_rel24" localSheetId="2" hidden="1">3</definedName>
    <definedName name="solver_rel25" localSheetId="2" hidden="1">3</definedName>
    <definedName name="solver_rel26" localSheetId="2" hidden="1">3</definedName>
    <definedName name="solver_rel27" localSheetId="2" hidden="1">3</definedName>
    <definedName name="solver_rel28" localSheetId="2" hidden="1">3</definedName>
    <definedName name="solver_rel29" localSheetId="2" hidden="1">3</definedName>
    <definedName name="solver_rel3" localSheetId="1" hidden="1">1</definedName>
    <definedName name="solver_rel3" localSheetId="2" hidden="1">3</definedName>
    <definedName name="solver_rel30" localSheetId="2" hidden="1">3</definedName>
    <definedName name="solver_rel31" localSheetId="2" hidden="1">3</definedName>
    <definedName name="solver_rel32" localSheetId="2" hidden="1">3</definedName>
    <definedName name="solver_rel33" localSheetId="2" hidden="1">3</definedName>
    <definedName name="solver_rel34" localSheetId="2" hidden="1">3</definedName>
    <definedName name="solver_rel35" localSheetId="2" hidden="1">3</definedName>
    <definedName name="solver_rel36" localSheetId="2" hidden="1">3</definedName>
    <definedName name="solver_rel4" localSheetId="2" hidden="1">3</definedName>
    <definedName name="solver_rel5" localSheetId="2" hidden="1">1</definedName>
    <definedName name="solver_rel6" localSheetId="2" hidden="1">1</definedName>
    <definedName name="solver_rel7" localSheetId="2" hidden="1">2</definedName>
    <definedName name="solver_rel8" localSheetId="2" hidden="1">2</definedName>
    <definedName name="solver_rel9" localSheetId="2" hidden="1">2</definedName>
    <definedName name="solver_rhs1" localSheetId="0" hidden="1">'Exemplo - Aula'!$J$6:$J$8</definedName>
    <definedName name="solver_rhs1" localSheetId="1" hidden="1">'Exercício 1'!$H$16:$H$17</definedName>
    <definedName name="solver_rhs1" localSheetId="2" hidden="1">'Exercício 2'!$J$10</definedName>
    <definedName name="solver_rhs10" localSheetId="2" hidden="1">'Exercício 2'!$J$6</definedName>
    <definedName name="solver_rhs11" localSheetId="2" hidden="1">'Exercício 2'!$J$6</definedName>
    <definedName name="solver_rhs12" localSheetId="2" hidden="1">'Exercício 2'!$J$6</definedName>
    <definedName name="solver_rhs13" localSheetId="2" hidden="1">'Exercício 2'!$J$6</definedName>
    <definedName name="solver_rhs14" localSheetId="2" hidden="1">'Exercício 2'!$J$6</definedName>
    <definedName name="solver_rhs15" localSheetId="2" hidden="1">'Exercício 2'!$J$6</definedName>
    <definedName name="solver_rhs16" localSheetId="2" hidden="1">'Exercício 2'!$J$6</definedName>
    <definedName name="solver_rhs17" localSheetId="2" hidden="1">'Exercício 2'!$J$7:$J$8</definedName>
    <definedName name="solver_rhs18" localSheetId="2" hidden="1">'Exercício 2'!$J$7:$J$8</definedName>
    <definedName name="solver_rhs19" localSheetId="2" hidden="1">'Exercício 2'!$J$7:$J$8</definedName>
    <definedName name="solver_rhs2" localSheetId="1" hidden="1">'Exercício 1'!$H$16:$H$17</definedName>
    <definedName name="solver_rhs2" localSheetId="2" hidden="1">'Exercício 2'!$J$6</definedName>
    <definedName name="solver_rhs20" localSheetId="2" hidden="1">'Exercício 2'!$J$7:$J$8</definedName>
    <definedName name="solver_rhs21" localSheetId="2" hidden="1">'Exercício 2'!$J$7:$J$8</definedName>
    <definedName name="solver_rhs22" localSheetId="2" hidden="1">'Exercício 2'!$J$7:$J$8</definedName>
    <definedName name="solver_rhs23" localSheetId="2" hidden="1">'Exercício 2'!$J$7:$J$8</definedName>
    <definedName name="solver_rhs24" localSheetId="2" hidden="1">'Exercício 2'!$J$7:$J$8</definedName>
    <definedName name="solver_rhs25" localSheetId="2" hidden="1">'Exercício 2'!$J$7:$J$8</definedName>
    <definedName name="solver_rhs26" localSheetId="2" hidden="1">'Exercício 2'!$J$7:$J$8</definedName>
    <definedName name="solver_rhs27" localSheetId="2" hidden="1">'Exercício 2'!$J$7:$J$8</definedName>
    <definedName name="solver_rhs28" localSheetId="2" hidden="1">'Exercício 2'!$J$7:$J$8</definedName>
    <definedName name="solver_rhs29" localSheetId="2" hidden="1">'Exercício 2'!$J$7:$J$8</definedName>
    <definedName name="solver_rhs3" localSheetId="1" hidden="1">'Exercício 1'!$H$18</definedName>
    <definedName name="solver_rhs3" localSheetId="2" hidden="1">'Exercício 2'!$J$7:$J$8</definedName>
    <definedName name="solver_rhs30" localSheetId="2" hidden="1">'Exercício 2'!$J$7:$J$8</definedName>
    <definedName name="solver_rhs31" localSheetId="2" hidden="1">'Exercício 2'!$J$7:$J$8</definedName>
    <definedName name="solver_rhs32" localSheetId="2" hidden="1">'Exercício 2'!$J$7:$J$8</definedName>
    <definedName name="solver_rhs33" localSheetId="2" hidden="1">'Exercício 2'!$J$7:$J$8</definedName>
    <definedName name="solver_rhs34" localSheetId="2" hidden="1">'Exercício 2'!$J$7:$J$8</definedName>
    <definedName name="solver_rhs35" localSheetId="2" hidden="1">'Exercício 2'!$J$7:$J$8</definedName>
    <definedName name="solver_rhs36" localSheetId="2" hidden="1">'Exercício 2'!$J$7:$J$8</definedName>
    <definedName name="solver_rhs4" localSheetId="2" hidden="1">'Exercício 2'!$J$11</definedName>
    <definedName name="solver_rhs5" localSheetId="2" hidden="1">'Exercício 2'!$J$9</definedName>
    <definedName name="solver_rhs6" localSheetId="2" hidden="1">'Exercício 2'!$J$12</definedName>
    <definedName name="solver_rhs7" localSheetId="2" hidden="1">'Exercício 2'!$J$6</definedName>
    <definedName name="solver_rhs8" localSheetId="2" hidden="1">'Exercício 2'!$J$6</definedName>
    <definedName name="solver_rhs9" localSheetId="2" hidden="1">'Exercício 2'!$J$6</definedName>
    <definedName name="solver_rlx" localSheetId="2" hidden="1">0</definedName>
    <definedName name="solver_rxc10" localSheetId="2" hidden="1">1</definedName>
    <definedName name="solver_rxc11" localSheetId="2" hidden="1">1</definedName>
    <definedName name="solver_rxc12" localSheetId="2" hidden="1">1</definedName>
    <definedName name="solver_rxc14" localSheetId="2" hidden="1">1</definedName>
    <definedName name="solver_rxc20" localSheetId="2" hidden="1">1</definedName>
    <definedName name="solver_rxc24" localSheetId="2" hidden="1">1</definedName>
    <definedName name="solver_rxc25" localSheetId="2" hidden="1">1</definedName>
    <definedName name="solver_rxc28" localSheetId="2" hidden="1">1</definedName>
    <definedName name="solver_rxc29" localSheetId="2" hidden="1">1</definedName>
    <definedName name="solver_rxc30" localSheetId="2" hidden="1">1</definedName>
    <definedName name="solver_rxc31" localSheetId="2" hidden="1">1</definedName>
    <definedName name="solver_rxc33" localSheetId="2" hidden="1">1</definedName>
    <definedName name="solver_rxc34" localSheetId="2" hidden="1">1</definedName>
    <definedName name="solver_rxc35" localSheetId="2" hidden="1">1</definedName>
    <definedName name="solver_rxc36" localSheetId="2" hidden="1">1</definedName>
    <definedName name="solver_rxc5" localSheetId="2" hidden="1">1</definedName>
    <definedName name="solver_rxc6" localSheetId="2" hidden="1">1</definedName>
    <definedName name="solver_rxc7" localSheetId="2" hidden="1">1</definedName>
    <definedName name="solver_rxc8" localSheetId="2" hidden="1">1</definedName>
    <definedName name="solver_rxc9" localSheetId="2" hidden="1">1</definedName>
    <definedName name="solver_rxv" localSheetId="0" hidden="1">1</definedName>
    <definedName name="solver_rxv" localSheetId="1" hidden="1">1</definedName>
    <definedName name="solver_rxv" localSheetId="2" hidden="1">1</definedName>
    <definedName name="solver_scl" localSheetId="2" hidden="1">0</definedName>
    <definedName name="solver_tms" localSheetId="2" hidden="1">0</definedName>
    <definedName name="solver_tol" localSheetId="2" hidden="1">0</definedName>
    <definedName name="solver_typ" localSheetId="1" hidden="1">2</definedName>
    <definedName name="solver_typ" localSheetId="0" hidden="1">1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3" l="1"/>
  <c r="D18" i="3"/>
  <c r="D17" i="3"/>
  <c r="D16" i="3"/>
  <c r="I7" i="2"/>
  <c r="I8" i="2"/>
  <c r="I6" i="2"/>
  <c r="I13" i="3"/>
  <c r="G15" i="3" s="1"/>
  <c r="I7" i="3"/>
  <c r="I8" i="3"/>
  <c r="G16" i="3" s="1"/>
  <c r="I9" i="3"/>
  <c r="I10" i="3"/>
  <c r="I11" i="3"/>
  <c r="I12" i="3"/>
  <c r="I6" i="3"/>
  <c r="J10" i="2"/>
  <c r="H20" i="1"/>
  <c r="G17" i="1"/>
  <c r="G18" i="1"/>
  <c r="G16" i="1"/>
</calcChain>
</file>

<file path=xl/sharedStrings.xml><?xml version="1.0" encoding="utf-8"?>
<sst xmlns="http://schemas.openxmlformats.org/spreadsheetml/2006/main" count="64" uniqueCount="40">
  <si>
    <t>Exemplo - Aula</t>
  </si>
  <si>
    <t>x1</t>
  </si>
  <si>
    <t>x2</t>
  </si>
  <si>
    <t>Max</t>
  </si>
  <si>
    <t>S.A.</t>
  </si>
  <si>
    <t>USO</t>
  </si>
  <si>
    <t>RESTRIÇÃO</t>
  </si>
  <si>
    <t>PINTURA</t>
  </si>
  <si>
    <t>&lt;=</t>
  </si>
  <si>
    <t>CARPINTARIA</t>
  </si>
  <si>
    <t>DEMANDA</t>
  </si>
  <si>
    <t>RESOLUÇÃO</t>
  </si>
  <si>
    <t>Z(LUCRO)</t>
  </si>
  <si>
    <t>Exercício 1</t>
  </si>
  <si>
    <t>Min</t>
  </si>
  <si>
    <t>CARBOIDRATOS</t>
  </si>
  <si>
    <t>&gt;=</t>
  </si>
  <si>
    <t>PROTEÍNA</t>
  </si>
  <si>
    <t>GORDURA</t>
  </si>
  <si>
    <t>Z(ECONOMIZAR)</t>
  </si>
  <si>
    <t>Exercício 2</t>
  </si>
  <si>
    <t>x3</t>
  </si>
  <si>
    <t>x4</t>
  </si>
  <si>
    <t>=</t>
  </si>
  <si>
    <t>FIBRA</t>
  </si>
  <si>
    <t>CALORIAS</t>
  </si>
  <si>
    <t>CALORIAS_MAX</t>
  </si>
  <si>
    <t>RAÇÃO</t>
  </si>
  <si>
    <t>MILHO</t>
  </si>
  <si>
    <t>SOJA</t>
  </si>
  <si>
    <t>Z(CUSTO)</t>
  </si>
  <si>
    <t>a)</t>
  </si>
  <si>
    <t>X1 - CEVADA</t>
  </si>
  <si>
    <t>b)</t>
  </si>
  <si>
    <t>CUSTO</t>
  </si>
  <si>
    <t>X2 - AVEIA</t>
  </si>
  <si>
    <t>c)</t>
  </si>
  <si>
    <t>Calorias/kg</t>
  </si>
  <si>
    <t>X3 - SOJA</t>
  </si>
  <si>
    <t>X4 - MILHO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</si>
</sst>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3" xfId="0" applyBorder="1"/>
    <xf numFmtId="0" fontId="0" fillId="6" borderId="3" xfId="0" applyFill="1" applyBorder="1"/>
    <xf numFmtId="0" fontId="0" fillId="0" borderId="4" xfId="0" applyBorder="1"/>
    <xf numFmtId="0" fontId="0" fillId="0" borderId="5" xfId="0" applyBorder="1"/>
    <xf numFmtId="0" fontId="0" fillId="5" borderId="2" xfId="0" applyFill="1" applyBorder="1"/>
    <xf numFmtId="0" fontId="0" fillId="0" borderId="6" xfId="0" applyBorder="1"/>
    <xf numFmtId="0" fontId="0" fillId="2" borderId="1" xfId="0" applyFont="1" applyFill="1" applyBorder="1"/>
    <xf numFmtId="0" fontId="0" fillId="3" borderId="6" xfId="0" applyFill="1" applyBorder="1"/>
    <xf numFmtId="0" fontId="0" fillId="0" borderId="7" xfId="0" applyBorder="1"/>
    <xf numFmtId="164" fontId="0" fillId="3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3F763E-FD3D-4D52-AEF6-FEAB66B873FB}">
  <we:reference id="1e10eb66-9ba2-46e3-84ee-57e2a49831f0" version="3.0.0.1" store="excatalog" storeType="excatalog"/>
  <we:alternateReferences>
    <we:reference id="WA104100404" version="3.0.0.1" store="pt-br" storeType="omex"/>
  </we:alternateReferences>
  <we:properties>
    <we:property name="UniqueID" value="&quot;202681178830287725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7339-798D-45B0-90F6-769B2C9A0060}">
  <dimension ref="D2:J10"/>
  <sheetViews>
    <sheetView showGridLines="0" workbookViewId="0">
      <selection activeCell="I6" sqref="I6"/>
    </sheetView>
  </sheetViews>
  <sheetFormatPr defaultRowHeight="15"/>
  <cols>
    <col min="5" max="5" width="13" bestFit="1" customWidth="1"/>
    <col min="10" max="10" width="10.85546875" bestFit="1" customWidth="1"/>
  </cols>
  <sheetData>
    <row r="2" spans="4:10">
      <c r="D2" s="1" t="s">
        <v>0</v>
      </c>
      <c r="E2" s="1"/>
      <c r="F2" s="1"/>
      <c r="G2" s="1"/>
      <c r="H2" s="1"/>
      <c r="I2" s="1"/>
      <c r="J2" s="1"/>
    </row>
    <row r="3" spans="4:10">
      <c r="D3" s="1"/>
      <c r="E3" s="1"/>
      <c r="F3" s="4" t="s">
        <v>1</v>
      </c>
      <c r="G3" s="4" t="s">
        <v>2</v>
      </c>
      <c r="H3" s="4"/>
      <c r="I3" s="4"/>
      <c r="J3" s="4"/>
    </row>
    <row r="4" spans="4:10">
      <c r="D4" s="1"/>
      <c r="E4" s="1" t="s">
        <v>3</v>
      </c>
      <c r="F4" s="1">
        <v>3</v>
      </c>
      <c r="G4" s="1">
        <v>2</v>
      </c>
      <c r="H4" s="1"/>
      <c r="I4" s="1"/>
      <c r="J4" s="1"/>
    </row>
    <row r="5" spans="4:10">
      <c r="D5" s="1"/>
      <c r="E5" s="1" t="s">
        <v>4</v>
      </c>
      <c r="F5" s="1"/>
      <c r="G5" s="1"/>
      <c r="H5" s="1"/>
      <c r="I5" s="1" t="s">
        <v>5</v>
      </c>
      <c r="J5" s="1" t="s">
        <v>6</v>
      </c>
    </row>
    <row r="6" spans="4:10">
      <c r="D6" s="1"/>
      <c r="E6" s="1" t="s">
        <v>7</v>
      </c>
      <c r="F6" s="1">
        <v>2</v>
      </c>
      <c r="G6" s="1">
        <v>1</v>
      </c>
      <c r="H6" s="1" t="s">
        <v>8</v>
      </c>
      <c r="I6" s="2">
        <f>SUMPRODUCT(F6:G6,$F$10:$G$10)</f>
        <v>100</v>
      </c>
      <c r="J6" s="1">
        <v>100</v>
      </c>
    </row>
    <row r="7" spans="4:10">
      <c r="D7" s="1"/>
      <c r="E7" s="1" t="s">
        <v>9</v>
      </c>
      <c r="F7" s="1">
        <v>1</v>
      </c>
      <c r="G7" s="1">
        <v>1</v>
      </c>
      <c r="H7" s="1" t="s">
        <v>8</v>
      </c>
      <c r="I7" s="2">
        <f t="shared" ref="I7:I8" si="0">SUMPRODUCT(F7:G7,$F$10:$G$10)</f>
        <v>80</v>
      </c>
      <c r="J7" s="1">
        <v>80</v>
      </c>
    </row>
    <row r="8" spans="4:10">
      <c r="D8" s="1"/>
      <c r="E8" s="1" t="s">
        <v>10</v>
      </c>
      <c r="F8" s="1">
        <v>1</v>
      </c>
      <c r="G8" s="1">
        <v>0</v>
      </c>
      <c r="H8" s="1" t="s">
        <v>8</v>
      </c>
      <c r="I8" s="2">
        <f t="shared" si="0"/>
        <v>20</v>
      </c>
      <c r="J8" s="1">
        <v>40</v>
      </c>
    </row>
    <row r="9" spans="4:10">
      <c r="D9" s="1"/>
      <c r="E9" s="1"/>
      <c r="F9" s="1"/>
      <c r="G9" s="1"/>
      <c r="H9" s="1"/>
      <c r="I9" s="1"/>
      <c r="J9" s="1"/>
    </row>
    <row r="10" spans="4:10">
      <c r="D10" s="1"/>
      <c r="E10" s="1" t="s">
        <v>11</v>
      </c>
      <c r="F10" s="3">
        <v>20</v>
      </c>
      <c r="G10" s="3">
        <v>60</v>
      </c>
      <c r="H10" s="1"/>
      <c r="I10" s="1" t="s">
        <v>12</v>
      </c>
      <c r="J10" s="14">
        <f>SUMPRODUCT(F4:G4,F10:G10)</f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:H20"/>
  <sheetViews>
    <sheetView showGridLines="0" workbookViewId="0">
      <selection activeCell="H20" sqref="H20"/>
    </sheetView>
  </sheetViews>
  <sheetFormatPr defaultRowHeight="15"/>
  <cols>
    <col min="3" max="3" width="15.140625" bestFit="1" customWidth="1"/>
    <col min="7" max="7" width="15.7109375" bestFit="1" customWidth="1"/>
    <col min="8" max="8" width="10.85546875" bestFit="1" customWidth="1"/>
  </cols>
  <sheetData>
    <row r="12" spans="2:8">
      <c r="B12" s="1" t="s">
        <v>13</v>
      </c>
      <c r="C12" s="1"/>
      <c r="D12" s="1"/>
      <c r="E12" s="1"/>
      <c r="F12" s="1"/>
      <c r="G12" s="1"/>
      <c r="H12" s="1"/>
    </row>
    <row r="13" spans="2:8">
      <c r="B13" s="1"/>
      <c r="C13" s="1"/>
      <c r="D13" s="1" t="s">
        <v>1</v>
      </c>
      <c r="E13" s="1" t="s">
        <v>2</v>
      </c>
      <c r="F13" s="1"/>
      <c r="G13" s="1"/>
      <c r="H13" s="1"/>
    </row>
    <row r="14" spans="2:8">
      <c r="B14" s="1"/>
      <c r="C14" s="1" t="s">
        <v>14</v>
      </c>
      <c r="D14" s="1">
        <v>4</v>
      </c>
      <c r="E14" s="1">
        <v>2</v>
      </c>
      <c r="F14" s="1"/>
      <c r="G14" s="1"/>
      <c r="H14" s="1"/>
    </row>
    <row r="15" spans="2:8">
      <c r="B15" s="1"/>
      <c r="C15" s="1" t="s">
        <v>4</v>
      </c>
      <c r="D15" s="1"/>
      <c r="E15" s="1"/>
      <c r="F15" s="1"/>
      <c r="G15" s="1" t="s">
        <v>5</v>
      </c>
      <c r="H15" s="1" t="s">
        <v>6</v>
      </c>
    </row>
    <row r="16" spans="2:8">
      <c r="B16" s="1"/>
      <c r="C16" s="1" t="s">
        <v>15</v>
      </c>
      <c r="D16" s="1">
        <v>5</v>
      </c>
      <c r="E16" s="1">
        <v>15</v>
      </c>
      <c r="F16" s="1" t="s">
        <v>16</v>
      </c>
      <c r="G16" s="5">
        <f>SUMPRODUCT(D16:E16,$D$20:$E$20)</f>
        <v>50</v>
      </c>
      <c r="H16" s="1">
        <v>50</v>
      </c>
    </row>
    <row r="17" spans="2:8">
      <c r="B17" s="1"/>
      <c r="C17" s="1" t="s">
        <v>17</v>
      </c>
      <c r="D17" s="1">
        <v>20</v>
      </c>
      <c r="E17" s="1">
        <v>5</v>
      </c>
      <c r="F17" s="1" t="s">
        <v>16</v>
      </c>
      <c r="G17" s="5">
        <f t="shared" ref="G17:G18" si="0">SUMPRODUCT(D17:E17,$D$20:$E$20)</f>
        <v>40</v>
      </c>
      <c r="H17" s="1">
        <v>40</v>
      </c>
    </row>
    <row r="18" spans="2:8">
      <c r="B18" s="1"/>
      <c r="C18" s="1" t="s">
        <v>18</v>
      </c>
      <c r="D18" s="1">
        <v>15</v>
      </c>
      <c r="E18" s="1">
        <v>2</v>
      </c>
      <c r="F18" s="1" t="s">
        <v>8</v>
      </c>
      <c r="G18" s="5">
        <f t="shared" si="0"/>
        <v>24.909090909090907</v>
      </c>
      <c r="H18" s="1">
        <v>60</v>
      </c>
    </row>
    <row r="19" spans="2:8">
      <c r="B19" s="1"/>
      <c r="C19" s="1"/>
      <c r="D19" s="1"/>
      <c r="E19" s="1"/>
      <c r="F19" s="1"/>
      <c r="G19" s="1"/>
      <c r="H19" s="1"/>
    </row>
    <row r="20" spans="2:8">
      <c r="B20" s="1"/>
      <c r="C20" s="1" t="s">
        <v>11</v>
      </c>
      <c r="D20" s="6">
        <v>1.2727272727272727</v>
      </c>
      <c r="E20" s="6">
        <v>2.9090909090909092</v>
      </c>
      <c r="F20" s="1"/>
      <c r="G20" s="1" t="s">
        <v>19</v>
      </c>
      <c r="H20" s="7">
        <f>SUMPRODUCT(D14:E14,D20:E20)</f>
        <v>10.90909090909091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8206-5AC8-4400-A2F2-19FA1F78D455}">
  <dimension ref="B2:J21"/>
  <sheetViews>
    <sheetView showGridLines="0" tabSelected="1" workbookViewId="0">
      <selection activeCell="F21" sqref="F21"/>
    </sheetView>
  </sheetViews>
  <sheetFormatPr defaultRowHeight="15"/>
  <cols>
    <col min="2" max="2" width="12.140625" bestFit="1" customWidth="1"/>
    <col min="3" max="3" width="15.140625" bestFit="1" customWidth="1"/>
    <col min="4" max="4" width="12.42578125" bestFit="1" customWidth="1"/>
    <col min="5" max="5" width="10.85546875" bestFit="1" customWidth="1"/>
    <col min="6" max="7" width="14.7109375" bestFit="1" customWidth="1"/>
    <col min="8" max="8" width="12.5703125" bestFit="1" customWidth="1"/>
    <col min="9" max="10" width="10.85546875" bestFit="1" customWidth="1"/>
  </cols>
  <sheetData>
    <row r="2" spans="2:10">
      <c r="B2" s="1" t="s">
        <v>20</v>
      </c>
      <c r="C2" s="1"/>
      <c r="D2" s="1"/>
      <c r="E2" s="1"/>
      <c r="F2" s="1"/>
      <c r="G2" s="1"/>
      <c r="H2" s="8"/>
      <c r="I2" s="8"/>
      <c r="J2" s="1"/>
    </row>
    <row r="3" spans="2:10">
      <c r="B3" s="1"/>
      <c r="C3" s="1"/>
      <c r="D3" s="1" t="s">
        <v>1</v>
      </c>
      <c r="E3" s="1" t="s">
        <v>2</v>
      </c>
      <c r="F3" s="1" t="s">
        <v>21</v>
      </c>
      <c r="G3" s="1" t="s">
        <v>22</v>
      </c>
      <c r="H3" s="8"/>
      <c r="I3" s="8"/>
      <c r="J3" s="1"/>
    </row>
    <row r="4" spans="2:10">
      <c r="B4" s="1"/>
      <c r="C4" s="1" t="s">
        <v>14</v>
      </c>
      <c r="D4" s="1">
        <v>30</v>
      </c>
      <c r="E4" s="1">
        <v>48</v>
      </c>
      <c r="F4" s="1">
        <v>44</v>
      </c>
      <c r="G4" s="1">
        <v>56</v>
      </c>
      <c r="H4" s="8"/>
      <c r="I4" s="8"/>
      <c r="J4" s="1"/>
    </row>
    <row r="5" spans="2:10">
      <c r="B5" s="1"/>
      <c r="C5" s="1" t="s">
        <v>4</v>
      </c>
      <c r="D5" s="1"/>
      <c r="E5" s="1"/>
      <c r="F5" s="1"/>
      <c r="G5" s="1"/>
      <c r="H5" s="8"/>
      <c r="I5" s="8" t="s">
        <v>5</v>
      </c>
      <c r="J5" s="1" t="s">
        <v>6</v>
      </c>
    </row>
    <row r="6" spans="2:10">
      <c r="B6" s="1"/>
      <c r="C6" s="1" t="s">
        <v>17</v>
      </c>
      <c r="D6" s="1">
        <v>6.9000000000000006E-2</v>
      </c>
      <c r="E6" s="1">
        <v>8.5000000000000006E-2</v>
      </c>
      <c r="F6" s="1">
        <v>0.09</v>
      </c>
      <c r="G6" s="1">
        <v>0.27100000000000002</v>
      </c>
      <c r="H6" s="8" t="s">
        <v>23</v>
      </c>
      <c r="I6" s="9">
        <f>SUMPRODUCT(D6:G6,$D$13:$G$13)</f>
        <v>1500</v>
      </c>
      <c r="J6" s="1">
        <v>1500</v>
      </c>
    </row>
    <row r="7" spans="2:10">
      <c r="B7" s="1"/>
      <c r="C7" s="1" t="s">
        <v>24</v>
      </c>
      <c r="D7" s="1">
        <v>0.06</v>
      </c>
      <c r="E7" s="1">
        <v>0.11</v>
      </c>
      <c r="F7" s="1">
        <v>0.11</v>
      </c>
      <c r="G7" s="1">
        <v>0.14000000000000001</v>
      </c>
      <c r="H7" s="8" t="s">
        <v>16</v>
      </c>
      <c r="I7" s="9">
        <f>SUMPRODUCT(D7:G7,$D$13:$G$13)</f>
        <v>920.79207920792078</v>
      </c>
      <c r="J7" s="1">
        <v>800</v>
      </c>
    </row>
    <row r="8" spans="2:10">
      <c r="B8" s="1"/>
      <c r="C8" s="1" t="s">
        <v>25</v>
      </c>
      <c r="D8" s="1">
        <v>1760</v>
      </c>
      <c r="E8" s="1">
        <v>1700</v>
      </c>
      <c r="F8" s="1">
        <v>1056</v>
      </c>
      <c r="G8" s="1">
        <v>1400</v>
      </c>
      <c r="H8" s="8" t="s">
        <v>16</v>
      </c>
      <c r="I8" s="9">
        <f>SUMPRODUCT(D8:G8,$D$13:$G$13)</f>
        <v>16156435.643564358</v>
      </c>
      <c r="J8" s="1">
        <v>11000000</v>
      </c>
    </row>
    <row r="9" spans="2:10">
      <c r="B9" s="10"/>
      <c r="C9" s="10" t="s">
        <v>26</v>
      </c>
      <c r="D9" s="10">
        <v>1760</v>
      </c>
      <c r="E9" s="10">
        <v>1700</v>
      </c>
      <c r="F9" s="10">
        <v>1056</v>
      </c>
      <c r="G9" s="10">
        <v>1400</v>
      </c>
      <c r="H9" s="11" t="s">
        <v>8</v>
      </c>
      <c r="I9" s="9">
        <f>SUMPRODUCT(D9:G9,$D$13:$G$13)</f>
        <v>16156435.643564358</v>
      </c>
      <c r="J9" s="10">
        <v>22500000</v>
      </c>
    </row>
    <row r="10" spans="2:10">
      <c r="B10" s="10"/>
      <c r="C10" s="10" t="s">
        <v>27</v>
      </c>
      <c r="D10" s="10">
        <v>1</v>
      </c>
      <c r="E10" s="10">
        <v>1</v>
      </c>
      <c r="F10" s="10">
        <v>1</v>
      </c>
      <c r="G10" s="10">
        <v>1</v>
      </c>
      <c r="H10" s="10" t="s">
        <v>23</v>
      </c>
      <c r="I10" s="9">
        <f>SUMPRODUCT(D10:G10,$D$13:$G$13)</f>
        <v>10000</v>
      </c>
      <c r="J10" s="10">
        <v>10000</v>
      </c>
    </row>
    <row r="11" spans="2:10">
      <c r="B11" s="10"/>
      <c r="C11" s="10" t="s">
        <v>28</v>
      </c>
      <c r="D11" s="10">
        <v>0</v>
      </c>
      <c r="E11" s="10">
        <v>0</v>
      </c>
      <c r="F11" s="10">
        <v>0</v>
      </c>
      <c r="G11" s="10">
        <v>1</v>
      </c>
      <c r="H11" s="10" t="s">
        <v>16</v>
      </c>
      <c r="I11" s="9">
        <f>SUMPRODUCT(D11:G11,$D$13:$G$13)</f>
        <v>4009.9009900990095</v>
      </c>
      <c r="J11" s="10">
        <v>2000</v>
      </c>
    </row>
    <row r="12" spans="2:10">
      <c r="B12" s="1"/>
      <c r="C12" s="1" t="s">
        <v>29</v>
      </c>
      <c r="D12" s="1">
        <v>0</v>
      </c>
      <c r="E12" s="1">
        <v>0</v>
      </c>
      <c r="F12" s="1">
        <v>1</v>
      </c>
      <c r="G12" s="1">
        <v>0</v>
      </c>
      <c r="H12" s="1" t="s">
        <v>8</v>
      </c>
      <c r="I12" s="9">
        <f>SUMPRODUCT(D12:G12,$D$13:$G$13)</f>
        <v>0</v>
      </c>
      <c r="J12" s="1">
        <v>1200</v>
      </c>
    </row>
    <row r="13" spans="2:10">
      <c r="B13" s="4"/>
      <c r="C13" s="4" t="s">
        <v>11</v>
      </c>
      <c r="D13" s="12">
        <v>5990.0990099009905</v>
      </c>
      <c r="E13" s="12">
        <v>0</v>
      </c>
      <c r="F13" s="12">
        <v>0</v>
      </c>
      <c r="G13" s="12">
        <v>4009.9009900990095</v>
      </c>
      <c r="H13" s="13" t="s">
        <v>30</v>
      </c>
      <c r="I13" s="15">
        <f>SUMPRODUCT(D4:G4,$D$13:$G$13)</f>
        <v>404257.42574257427</v>
      </c>
      <c r="J13" s="4"/>
    </row>
    <row r="15" spans="2:10">
      <c r="B15" s="1" t="s">
        <v>31</v>
      </c>
      <c r="C15" s="16" t="s">
        <v>32</v>
      </c>
      <c r="D15" s="17">
        <f>D13</f>
        <v>5990.0990099009905</v>
      </c>
      <c r="E15" s="1" t="s">
        <v>33</v>
      </c>
      <c r="F15" s="1" t="s">
        <v>34</v>
      </c>
      <c r="G15" s="17">
        <f>I13</f>
        <v>404257.42574257427</v>
      </c>
    </row>
    <row r="16" spans="2:10">
      <c r="B16" s="1"/>
      <c r="C16" s="16" t="s">
        <v>35</v>
      </c>
      <c r="D16" s="17">
        <f>E13</f>
        <v>0</v>
      </c>
      <c r="E16" s="1" t="s">
        <v>36</v>
      </c>
      <c r="F16" s="1" t="s">
        <v>37</v>
      </c>
      <c r="G16" s="3">
        <f>I8/J10</f>
        <v>1615.6435643564359</v>
      </c>
    </row>
    <row r="17" spans="2:7">
      <c r="B17" s="1"/>
      <c r="C17" s="16" t="s">
        <v>38</v>
      </c>
      <c r="D17" s="17">
        <f>F13</f>
        <v>0</v>
      </c>
      <c r="E17" s="1"/>
      <c r="F17" s="1"/>
      <c r="G17" s="1"/>
    </row>
    <row r="18" spans="2:7">
      <c r="B18" s="1"/>
      <c r="C18" s="16" t="s">
        <v>39</v>
      </c>
      <c r="D18" s="17">
        <f>G13</f>
        <v>4009.9009900990095</v>
      </c>
      <c r="E18" s="1"/>
      <c r="F18" s="1"/>
      <c r="G18" s="1"/>
    </row>
    <row r="21" spans="2:7">
      <c r="F2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2026-09-01T22:36:00Z</dcterms:created>
  <dcterms:modified xsi:type="dcterms:W3CDTF">2026-09-02T10:38:38Z</dcterms:modified>
  <cp:category/>
  <cp:contentStatus/>
</cp:coreProperties>
</file>